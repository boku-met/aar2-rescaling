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38187E58-07A6-7046-BAC6-A03885D6B6C2}" xr6:coauthVersionLast="47" xr6:coauthVersionMax="47" xr10:uidLastSave="{00000000-0000-0000-0000-000000000000}"/>
  <bookViews>
    <workbookView xWindow="0" yWindow="500" windowWidth="38400" windowHeight="22120" activeTab="1" xr2:uid="{489E0962-2F52-8142-A44B-9CA53DE3A000}"/>
  </bookViews>
  <sheets>
    <sheet name="lookup_table" sheetId="2" r:id="rId1"/>
    <sheet name="Tabelle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1" l="1"/>
  <c r="AQ4" i="1"/>
  <c r="AR4" i="1"/>
  <c r="AS4" i="1"/>
  <c r="AP5" i="1"/>
  <c r="AQ5" i="1"/>
  <c r="AR5" i="1"/>
  <c r="AS5" i="1"/>
  <c r="AP6" i="1"/>
  <c r="AQ6" i="1"/>
  <c r="AR6" i="1"/>
  <c r="AS6" i="1"/>
  <c r="AP7" i="1"/>
  <c r="AQ7" i="1"/>
  <c r="AR7" i="1"/>
  <c r="AS7" i="1"/>
  <c r="AP8" i="1"/>
  <c r="AQ8" i="1"/>
  <c r="AR8" i="1"/>
  <c r="AS8" i="1"/>
  <c r="AP9" i="1"/>
  <c r="AQ9" i="1"/>
  <c r="AR9" i="1"/>
  <c r="AS9" i="1"/>
  <c r="AP10" i="1"/>
  <c r="AQ10" i="1"/>
  <c r="AR10" i="1"/>
  <c r="AS10" i="1"/>
  <c r="AP11" i="1"/>
  <c r="AQ11" i="1"/>
  <c r="AR11" i="1"/>
  <c r="AS11" i="1"/>
  <c r="AP12" i="1"/>
  <c r="AQ12" i="1"/>
  <c r="AR12" i="1"/>
  <c r="AS12" i="1"/>
  <c r="AP13" i="1"/>
  <c r="AQ13" i="1"/>
  <c r="AR13" i="1"/>
  <c r="AS13" i="1"/>
  <c r="AP14" i="1"/>
  <c r="AQ14" i="1"/>
  <c r="AR14" i="1"/>
  <c r="AS14" i="1"/>
  <c r="AP15" i="1"/>
  <c r="AQ15" i="1"/>
  <c r="AR15" i="1"/>
  <c r="AS15" i="1"/>
  <c r="AP16" i="1"/>
  <c r="AQ16" i="1"/>
  <c r="AR16" i="1"/>
  <c r="AS16" i="1"/>
  <c r="AP17" i="1"/>
  <c r="AQ17" i="1"/>
  <c r="AR17" i="1"/>
  <c r="AS17" i="1"/>
  <c r="AP18" i="1"/>
  <c r="AQ18" i="1"/>
  <c r="AR18" i="1"/>
  <c r="AS18" i="1"/>
  <c r="AP19" i="1"/>
  <c r="AQ19" i="1"/>
  <c r="AR19" i="1"/>
  <c r="AS19" i="1"/>
  <c r="AP20" i="1"/>
  <c r="AQ20" i="1"/>
  <c r="AR20" i="1"/>
  <c r="AS20" i="1"/>
  <c r="AP21" i="1"/>
  <c r="AQ21" i="1"/>
  <c r="AR21" i="1"/>
  <c r="AS21" i="1"/>
  <c r="AP22" i="1"/>
  <c r="AQ22" i="1"/>
  <c r="AR22" i="1"/>
  <c r="AS22" i="1"/>
  <c r="AP23" i="1"/>
  <c r="AQ23" i="1"/>
  <c r="AR23" i="1"/>
  <c r="AS23" i="1"/>
  <c r="AP24" i="1"/>
  <c r="AQ24" i="1"/>
  <c r="AR24" i="1"/>
  <c r="AS24" i="1"/>
  <c r="AP25" i="1"/>
  <c r="AQ25" i="1"/>
  <c r="AR25" i="1"/>
  <c r="AS25" i="1"/>
  <c r="AP26" i="1"/>
  <c r="AQ26" i="1"/>
  <c r="AR26" i="1"/>
  <c r="AS26" i="1"/>
  <c r="AP27" i="1"/>
  <c r="AQ27" i="1"/>
  <c r="AR27" i="1"/>
  <c r="AS27" i="1"/>
  <c r="AP28" i="1"/>
  <c r="AQ28" i="1"/>
  <c r="AR28" i="1"/>
  <c r="AS28" i="1"/>
  <c r="AP29" i="1"/>
  <c r="AQ29" i="1"/>
  <c r="AR29" i="1"/>
  <c r="AS29" i="1"/>
  <c r="AP30" i="1"/>
  <c r="AQ30" i="1"/>
  <c r="AR30" i="1"/>
  <c r="AS30" i="1"/>
  <c r="AP31" i="1"/>
  <c r="AQ31" i="1"/>
  <c r="AR31" i="1"/>
  <c r="AS31" i="1"/>
  <c r="AP32" i="1"/>
  <c r="AQ32" i="1"/>
  <c r="AR32" i="1"/>
  <c r="AS32" i="1"/>
  <c r="AP33" i="1"/>
  <c r="AQ33" i="1"/>
  <c r="AR33" i="1"/>
  <c r="AS33" i="1"/>
  <c r="AP34" i="1"/>
  <c r="AQ34" i="1"/>
  <c r="AR34" i="1"/>
  <c r="AS34" i="1"/>
  <c r="AP35" i="1"/>
  <c r="AQ35" i="1"/>
  <c r="AR35" i="1"/>
  <c r="AS35" i="1"/>
  <c r="AP36" i="1"/>
  <c r="AQ36" i="1"/>
  <c r="AR36" i="1"/>
  <c r="AS36" i="1"/>
  <c r="AQ3" i="1"/>
  <c r="AR3" i="1"/>
  <c r="AS3" i="1"/>
  <c r="AP3" i="1"/>
  <c r="AL3" i="1"/>
  <c r="AN35" i="1"/>
  <c r="AO36" i="1"/>
  <c r="AN36" i="1"/>
  <c r="AM36" i="1"/>
  <c r="AL36" i="1"/>
  <c r="AO35" i="1"/>
  <c r="AM35" i="1"/>
  <c r="AL35" i="1"/>
  <c r="AO34" i="1"/>
  <c r="AN34" i="1"/>
  <c r="AM34" i="1"/>
  <c r="AL34" i="1"/>
  <c r="AO33" i="1"/>
  <c r="AN33" i="1"/>
  <c r="AM33" i="1"/>
  <c r="AL33" i="1"/>
  <c r="AO32" i="1"/>
  <c r="AN32" i="1"/>
  <c r="AM32" i="1"/>
  <c r="AL32" i="1"/>
  <c r="AO31" i="1"/>
  <c r="AN31" i="1"/>
  <c r="AM31" i="1"/>
  <c r="AL31" i="1"/>
  <c r="AO30" i="1"/>
  <c r="AN30" i="1"/>
  <c r="AM30" i="1"/>
  <c r="AL30" i="1"/>
  <c r="AO29" i="1"/>
  <c r="AN29" i="1"/>
  <c r="AM29" i="1"/>
  <c r="AL29" i="1"/>
  <c r="AO28" i="1"/>
  <c r="AN28" i="1"/>
  <c r="AM28" i="1"/>
  <c r="AL28" i="1"/>
  <c r="AO27" i="1"/>
  <c r="AN27" i="1"/>
  <c r="AM27" i="1"/>
  <c r="AL27" i="1"/>
  <c r="AO26" i="1"/>
  <c r="AN26" i="1"/>
  <c r="AM26" i="1"/>
  <c r="AL26" i="1"/>
  <c r="AO25" i="1"/>
  <c r="AN25" i="1"/>
  <c r="AM25" i="1"/>
  <c r="AL25" i="1"/>
  <c r="AO24" i="1"/>
  <c r="AN24" i="1"/>
  <c r="AM24" i="1"/>
  <c r="AL24" i="1"/>
  <c r="AO23" i="1"/>
  <c r="AN23" i="1"/>
  <c r="AM23" i="1"/>
  <c r="AL23" i="1"/>
  <c r="AO22" i="1"/>
  <c r="AN22" i="1"/>
  <c r="AM22" i="1"/>
  <c r="AL22" i="1"/>
  <c r="AO21" i="1"/>
  <c r="AN21" i="1"/>
  <c r="AM21" i="1"/>
  <c r="AL21" i="1"/>
  <c r="AO20" i="1"/>
  <c r="AN20" i="1"/>
  <c r="AM20" i="1"/>
  <c r="AL20" i="1"/>
  <c r="AO19" i="1"/>
  <c r="AN19" i="1"/>
  <c r="AM19" i="1"/>
  <c r="AL19" i="1"/>
  <c r="AO18" i="1"/>
  <c r="AN18" i="1"/>
  <c r="AM18" i="1"/>
  <c r="AL18" i="1"/>
  <c r="AO17" i="1"/>
  <c r="AN17" i="1"/>
  <c r="AM17" i="1"/>
  <c r="AL17" i="1"/>
  <c r="AO16" i="1"/>
  <c r="AN16" i="1"/>
  <c r="AM16" i="1"/>
  <c r="AL16" i="1"/>
  <c r="AO15" i="1"/>
  <c r="AN15" i="1"/>
  <c r="AM15" i="1"/>
  <c r="AL15" i="1"/>
  <c r="AO14" i="1"/>
  <c r="AN14" i="1"/>
  <c r="AM14" i="1"/>
  <c r="AL14" i="1"/>
  <c r="AO13" i="1"/>
  <c r="AN13" i="1"/>
  <c r="AM13" i="1"/>
  <c r="AL13" i="1"/>
  <c r="AO12" i="1"/>
  <c r="AN12" i="1"/>
  <c r="AM12" i="1"/>
  <c r="AL12" i="1"/>
  <c r="AO11" i="1"/>
  <c r="AN11" i="1"/>
  <c r="AM11" i="1"/>
  <c r="AL11" i="1"/>
  <c r="AO10" i="1"/>
  <c r="AN10" i="1"/>
  <c r="AM10" i="1"/>
  <c r="AL10" i="1"/>
  <c r="AO9" i="1"/>
  <c r="AN9" i="1"/>
  <c r="AM9" i="1"/>
  <c r="AL9" i="1"/>
  <c r="AO8" i="1"/>
  <c r="AN8" i="1"/>
  <c r="AM8" i="1"/>
  <c r="AL8" i="1"/>
  <c r="AO7" i="1"/>
  <c r="AN7" i="1"/>
  <c r="AM7" i="1"/>
  <c r="AL7" i="1"/>
  <c r="AO6" i="1"/>
  <c r="AN6" i="1"/>
  <c r="AM6" i="1"/>
  <c r="AL6" i="1"/>
  <c r="AO5" i="1"/>
  <c r="AN5" i="1"/>
  <c r="AM5" i="1"/>
  <c r="AL5" i="1"/>
  <c r="AO4" i="1"/>
  <c r="AN4" i="1"/>
  <c r="AM4" i="1"/>
  <c r="AL4" i="1"/>
  <c r="AO3" i="1"/>
  <c r="AN3" i="1"/>
  <c r="AM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" i="1"/>
</calcChain>
</file>

<file path=xl/sharedStrings.xml><?xml version="1.0" encoding="utf-8"?>
<sst xmlns="http://schemas.openxmlformats.org/spreadsheetml/2006/main" count="511" uniqueCount="122">
  <si>
    <t>OEKS15 ensemble member</t>
  </si>
  <si>
    <t>Mean year per GWL</t>
  </si>
  <si>
    <t>Period per GWL</t>
  </si>
  <si>
    <t>1.5°C</t>
  </si>
  <si>
    <t>2.0°C</t>
  </si>
  <si>
    <t>3.0°C</t>
  </si>
  <si>
    <t>4.0°C</t>
  </si>
  <si>
    <t>SDM_ICHEC-EC-EARTH_rcp26_r12i1p1_CLMcom-CCLM4-8-17_all</t>
  </si>
  <si>
    <t>SDM_ICHEC-EC-EARTH_rcp26_r12i1p1_KNMI-RACMO22E_all</t>
  </si>
  <si>
    <t>2040-2059</t>
  </si>
  <si>
    <t>SDM_ICHEC-EC-EARTH_rcp26_r12i1p1_SMHI-RCA4_all</t>
  </si>
  <si>
    <t>2029-2048</t>
  </si>
  <si>
    <t>SDM_ICHEC-EC-EARTH_rcp26_r3i1p1_DMI-HIRHAM5_all</t>
  </si>
  <si>
    <t>SDM_MOHC-HadGEM2-ES_rcp26_r1i1p1_SMHI-RCA4_all</t>
  </si>
  <si>
    <t>2011-2030</t>
  </si>
  <si>
    <t>2044-2063</t>
  </si>
  <si>
    <t>SDM_MPI-M-MPI-ESM-LR_rcp26_r1i1p1_MPI-CSC-REMO2009_all</t>
  </si>
  <si>
    <t>SDM_MPI-M-MPI-ESM-LR_rcp26_r1i1p1_SMHI-RCA4_all</t>
  </si>
  <si>
    <t>2016-2035</t>
  </si>
  <si>
    <t>SDM_MPI-M-MPI-ESM-LR_rcp26_r2i1p1_MPI-CSC-REMO2009_all</t>
  </si>
  <si>
    <t>SDM_CNRM-CERFACS-CNRM-CM5_rcp45_r1i1p1_CLMcom-CCLM4-8-17</t>
  </si>
  <si>
    <t>2045-2064</t>
  </si>
  <si>
    <t>2066-2085</t>
  </si>
  <si>
    <t>SDM_CNRM-CERFACS-CNRM-CM5_rcp45_r1i1p1_CNRM-ALADIN53</t>
  </si>
  <si>
    <t>2039-2058</t>
  </si>
  <si>
    <t>2048-2067</t>
  </si>
  <si>
    <t>SDM_CNRM-CERFACS-CNRM-CM5_rcp45_r1i1p1_SMHI-RCA4</t>
  </si>
  <si>
    <t>2036-2055</t>
  </si>
  <si>
    <t>2047-2066</t>
  </si>
  <si>
    <t>SDM_ICHEC-EC-EARTH_rcp45_r12i1p1_CLMcom-CCLM4-8-17</t>
  </si>
  <si>
    <t>2051-2070</t>
  </si>
  <si>
    <t>SDM_ICHEC-EC-EARTH_rcp45_r12i1p1_SMHI-RCA4</t>
  </si>
  <si>
    <t>2022-2041</t>
  </si>
  <si>
    <t>2042-2061</t>
  </si>
  <si>
    <t>SDM_ICHEC-EC-EARTH_rcp45_r1i1p1_KNMI-RACMO22E</t>
  </si>
  <si>
    <t>2021-2040</t>
  </si>
  <si>
    <t>2055-2074</t>
  </si>
  <si>
    <t>SDM_ICHEC-EC-EARTH_rcp45_r3i1p1_DMI-HIRHAM5</t>
  </si>
  <si>
    <t>2028-2047</t>
  </si>
  <si>
    <t>2063-2082</t>
  </si>
  <si>
    <t>SDM_IPSL-IPSL-CM5A-MR_rcp45_r1i1p1_IPSL-INERIS-WRF331F</t>
  </si>
  <si>
    <t>2060-2079</t>
  </si>
  <si>
    <t>SDM_IPSL-IPSL-CM5A-MR_rcp45_r1i1p1_SMHI-RCA4</t>
  </si>
  <si>
    <t>2046-2065</t>
  </si>
  <si>
    <t>SDM_MOHC-HadGEM2-ES_rcp45_r1i1p1_CLMcom-CCLM4-8-17</t>
  </si>
  <si>
    <t>2015-2034</t>
  </si>
  <si>
    <t>2031-2050</t>
  </si>
  <si>
    <t>2059-2078</t>
  </si>
  <si>
    <t>SDM_MOHC-HadGEM2-ES_rcp45_r1i1p1_SMHI-RCA4</t>
  </si>
  <si>
    <t>2017-2036</t>
  </si>
  <si>
    <t>2033-2052</t>
  </si>
  <si>
    <t>SDM_MPI-M-MPI-ESM-LR_rcp45_r1i1p1_CLMcom-CCLM4-8-17</t>
  </si>
  <si>
    <t>2080-2099</t>
  </si>
  <si>
    <t>SDM_MPI-M-MPI-ESM-LR_rcp45_r1i1p1_SMHI-RCA4</t>
  </si>
  <si>
    <t>2024-2043</t>
  </si>
  <si>
    <t>SDM_CNRM-CERFACS-CNRM-CM5_rcp85_r1i1p1_CLMcom-CCLM4-8-17</t>
  </si>
  <si>
    <t>2032-2051</t>
  </si>
  <si>
    <t>SDM_CNRM-CERFACS-CNRM-CM5_rcp85_r1i1p1_CNRM-ALADIN53</t>
  </si>
  <si>
    <t>2056-2075</t>
  </si>
  <si>
    <t>2073-2092</t>
  </si>
  <si>
    <t>SDM_CNRM-CERFACS-CNRM-CM5_rcp85_r1i1p1_SMHI-RCA4</t>
  </si>
  <si>
    <t>2052-2071</t>
  </si>
  <si>
    <t>2070-2089</t>
  </si>
  <si>
    <t>SDM_ICHEC-EC-EARTH_rcp85_r12i1p1_CLMcom-CCLM4-8-17</t>
  </si>
  <si>
    <t>2067-2086</t>
  </si>
  <si>
    <t>SDM_ICHEC-EC-EARTH_rcp85_r12i1p1_SMHI-RCA4</t>
  </si>
  <si>
    <t>2018-2037</t>
  </si>
  <si>
    <t>2030-2049</t>
  </si>
  <si>
    <t>2049-2068</t>
  </si>
  <si>
    <t>SDM_ICHEC-EC-EARTH_rcp85_r1i1p1_KNMI-RACMO22E</t>
  </si>
  <si>
    <t>2020-2039</t>
  </si>
  <si>
    <t>2077-2096</t>
  </si>
  <si>
    <t>SDM_ICHEC-EC-EARTH_rcp85_r3i1p1_DMI-HIRHAM5</t>
  </si>
  <si>
    <t>2019-2038</t>
  </si>
  <si>
    <t>SDM_IPSL-IPSL-CM5A-MR_rcp85_r1i1p1_IPSL-INERIS-WRF331F</t>
  </si>
  <si>
    <t>2041-2060</t>
  </si>
  <si>
    <t>SDM_IPSL-IPSL-CM5A-MR_rcp85_r1i1p1_SMHI-RCA4</t>
  </si>
  <si>
    <t>2025-2044</t>
  </si>
  <si>
    <t>2061-2080</t>
  </si>
  <si>
    <t>SDM_MOHC-HadGEM2-ES_rcp85_r1i1p1_CLMcom-CCLM4-8-17</t>
  </si>
  <si>
    <t>2013-2032</t>
  </si>
  <si>
    <t>2057-2076</t>
  </si>
  <si>
    <t>SDM_MOHC-HadGEM2-ES_rcp85_r1i1p1_SMHI-RCA4</t>
  </si>
  <si>
    <t>2012-2031</t>
  </si>
  <si>
    <t>SDM_MPI-M-MPI-ESM-LR_rcp85_r1i1p1_CLMcom-CCLM4-8-17</t>
  </si>
  <si>
    <t>2035-2054</t>
  </si>
  <si>
    <t>2043-2062</t>
  </si>
  <si>
    <t>SDM_MPI-M-MPI-ESM-LR_rcp85_r1i1p1_SMHI-RCA4</t>
  </si>
  <si>
    <t>2058-2077</t>
  </si>
  <si>
    <t>2071-2090</t>
  </si>
  <si>
    <t>2023-2042</t>
  </si>
  <si>
    <t>2014-2033</t>
  </si>
  <si>
    <t>2026-2045</t>
  </si>
  <si>
    <t>2003-2022</t>
  </si>
  <si>
    <t>2010-2029</t>
  </si>
  <si>
    <t>2007-2026</t>
  </si>
  <si>
    <t>2002-2021</t>
  </si>
  <si>
    <t>2037-2056</t>
  </si>
  <si>
    <t>2004-2023</t>
  </si>
  <si>
    <t>2008-2027</t>
  </si>
  <si>
    <t>2027-2046</t>
  </si>
  <si>
    <t>2069-2088</t>
  </si>
  <si>
    <t>1999-2018</t>
  </si>
  <si>
    <t>2005-2024</t>
  </si>
  <si>
    <t>2050-2069</t>
  </si>
  <si>
    <t>2009-2028</t>
  </si>
  <si>
    <t>2074-2093</t>
  </si>
  <si>
    <t>2034-2053</t>
  </si>
  <si>
    <t>2062-2081</t>
  </si>
  <si>
    <t>2006-2025</t>
  </si>
  <si>
    <t>2075-2094</t>
  </si>
  <si>
    <t>2054-2073</t>
  </si>
  <si>
    <t>2079-2098</t>
  </si>
  <si>
    <t>2038-2057</t>
  </si>
  <si>
    <t>2053-2072</t>
  </si>
  <si>
    <t>Mean year per GWL (median)</t>
  </si>
  <si>
    <t>Mean year per GWL (p10)</t>
  </si>
  <si>
    <t>2068-2087</t>
  </si>
  <si>
    <t>2072-2091</t>
  </si>
  <si>
    <t>2081-2100</t>
  </si>
  <si>
    <t>difference median - p10</t>
  </si>
  <si>
    <t>difference p90 - 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</si>
</sst>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0922-5B47-9642-9615-38A0C1364AC8}">
  <dimension ref="A1:E35"/>
  <sheetViews>
    <sheetView workbookViewId="0">
      <selection activeCell="K16" sqref="K16"/>
    </sheetView>
  </sheetViews>
  <sheetFormatPr baseColWidth="10" defaultRowHeight="16" x14ac:dyDescent="0.2"/>
  <cols>
    <col min="1" max="1" width="61" bestFit="1" customWidth="1"/>
    <col min="2" max="5" width="9.83203125" bestFit="1" customWidth="1"/>
  </cols>
  <sheetData>
    <row r="1" spans="1:5" x14ac:dyDescent="0.2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</row>
    <row r="2" spans="1:5" x14ac:dyDescent="0.2">
      <c r="A2" t="s">
        <v>7</v>
      </c>
    </row>
    <row r="3" spans="1:5" x14ac:dyDescent="0.2">
      <c r="A3" t="s">
        <v>8</v>
      </c>
      <c r="B3" t="s">
        <v>9</v>
      </c>
    </row>
    <row r="4" spans="1:5" x14ac:dyDescent="0.2">
      <c r="A4" t="s">
        <v>10</v>
      </c>
      <c r="B4" t="s">
        <v>11</v>
      </c>
    </row>
    <row r="5" spans="1:5" x14ac:dyDescent="0.2">
      <c r="A5" t="s">
        <v>12</v>
      </c>
    </row>
    <row r="6" spans="1:5" x14ac:dyDescent="0.2">
      <c r="A6" t="s">
        <v>13</v>
      </c>
      <c r="B6" t="s">
        <v>14</v>
      </c>
      <c r="C6" t="s">
        <v>15</v>
      </c>
    </row>
    <row r="7" spans="1:5" x14ac:dyDescent="0.2">
      <c r="A7" t="s">
        <v>16</v>
      </c>
      <c r="B7" t="s">
        <v>11</v>
      </c>
    </row>
    <row r="8" spans="1:5" x14ac:dyDescent="0.2">
      <c r="A8" t="s">
        <v>17</v>
      </c>
      <c r="B8" t="s">
        <v>18</v>
      </c>
    </row>
    <row r="9" spans="1:5" x14ac:dyDescent="0.2">
      <c r="A9" t="s">
        <v>19</v>
      </c>
    </row>
    <row r="10" spans="1:5" x14ac:dyDescent="0.2">
      <c r="A10" t="s">
        <v>20</v>
      </c>
      <c r="B10" t="s">
        <v>21</v>
      </c>
      <c r="C10" t="s">
        <v>22</v>
      </c>
    </row>
    <row r="11" spans="1:5" x14ac:dyDescent="0.2">
      <c r="A11" t="s">
        <v>23</v>
      </c>
      <c r="B11" t="s">
        <v>24</v>
      </c>
      <c r="C11" t="s">
        <v>25</v>
      </c>
    </row>
    <row r="12" spans="1:5" x14ac:dyDescent="0.2">
      <c r="A12" t="s">
        <v>26</v>
      </c>
      <c r="B12" t="s">
        <v>27</v>
      </c>
      <c r="C12" t="s">
        <v>28</v>
      </c>
    </row>
    <row r="13" spans="1:5" x14ac:dyDescent="0.2">
      <c r="A13" t="s">
        <v>29</v>
      </c>
      <c r="B13" t="s">
        <v>9</v>
      </c>
      <c r="C13" t="s">
        <v>30</v>
      </c>
    </row>
    <row r="14" spans="1:5" x14ac:dyDescent="0.2">
      <c r="A14" t="s">
        <v>31</v>
      </c>
      <c r="B14" t="s">
        <v>32</v>
      </c>
      <c r="C14" t="s">
        <v>33</v>
      </c>
    </row>
    <row r="15" spans="1:5" x14ac:dyDescent="0.2">
      <c r="A15" t="s">
        <v>34</v>
      </c>
      <c r="B15" t="s">
        <v>35</v>
      </c>
      <c r="C15" t="s">
        <v>36</v>
      </c>
    </row>
    <row r="16" spans="1:5" x14ac:dyDescent="0.2">
      <c r="A16" t="s">
        <v>37</v>
      </c>
      <c r="B16" t="s">
        <v>38</v>
      </c>
      <c r="C16" t="s">
        <v>39</v>
      </c>
    </row>
    <row r="17" spans="1:5" x14ac:dyDescent="0.2">
      <c r="A17" t="s">
        <v>40</v>
      </c>
      <c r="B17" t="s">
        <v>38</v>
      </c>
      <c r="C17" t="s">
        <v>41</v>
      </c>
    </row>
    <row r="18" spans="1:5" x14ac:dyDescent="0.2">
      <c r="A18" t="s">
        <v>42</v>
      </c>
      <c r="B18" t="s">
        <v>38</v>
      </c>
      <c r="C18" t="s">
        <v>43</v>
      </c>
    </row>
    <row r="19" spans="1:5" x14ac:dyDescent="0.2">
      <c r="A19" t="s">
        <v>44</v>
      </c>
      <c r="B19" t="s">
        <v>45</v>
      </c>
      <c r="C19" t="s">
        <v>46</v>
      </c>
      <c r="D19" t="s">
        <v>47</v>
      </c>
    </row>
    <row r="20" spans="1:5" x14ac:dyDescent="0.2">
      <c r="A20" t="s">
        <v>48</v>
      </c>
      <c r="B20" t="s">
        <v>49</v>
      </c>
      <c r="C20" t="s">
        <v>50</v>
      </c>
      <c r="D20" t="s">
        <v>41</v>
      </c>
    </row>
    <row r="21" spans="1:5" x14ac:dyDescent="0.2">
      <c r="A21" t="s">
        <v>51</v>
      </c>
      <c r="B21" t="s">
        <v>11</v>
      </c>
      <c r="C21" t="s">
        <v>52</v>
      </c>
    </row>
    <row r="22" spans="1:5" x14ac:dyDescent="0.2">
      <c r="A22" t="s">
        <v>53</v>
      </c>
      <c r="B22" t="s">
        <v>54</v>
      </c>
      <c r="C22" t="s">
        <v>41</v>
      </c>
    </row>
    <row r="23" spans="1:5" x14ac:dyDescent="0.2">
      <c r="A23" t="s">
        <v>55</v>
      </c>
      <c r="B23" t="s">
        <v>56</v>
      </c>
      <c r="C23" t="s">
        <v>21</v>
      </c>
      <c r="D23" t="s">
        <v>22</v>
      </c>
    </row>
    <row r="24" spans="1:5" x14ac:dyDescent="0.2">
      <c r="A24" t="s">
        <v>57</v>
      </c>
      <c r="B24" t="s">
        <v>38</v>
      </c>
      <c r="C24" t="s">
        <v>24</v>
      </c>
      <c r="D24" t="s">
        <v>58</v>
      </c>
      <c r="E24" t="s">
        <v>59</v>
      </c>
    </row>
    <row r="25" spans="1:5" x14ac:dyDescent="0.2">
      <c r="A25" t="s">
        <v>60</v>
      </c>
      <c r="B25" t="s">
        <v>32</v>
      </c>
      <c r="C25" t="s">
        <v>27</v>
      </c>
      <c r="D25" t="s">
        <v>61</v>
      </c>
      <c r="E25" t="s">
        <v>62</v>
      </c>
    </row>
    <row r="26" spans="1:5" x14ac:dyDescent="0.2">
      <c r="A26" t="s">
        <v>63</v>
      </c>
      <c r="B26" t="s">
        <v>46</v>
      </c>
      <c r="C26" t="s">
        <v>15</v>
      </c>
      <c r="D26" t="s">
        <v>64</v>
      </c>
      <c r="E26" t="s">
        <v>52</v>
      </c>
    </row>
    <row r="27" spans="1:5" x14ac:dyDescent="0.2">
      <c r="A27" t="s">
        <v>65</v>
      </c>
      <c r="B27" t="s">
        <v>66</v>
      </c>
      <c r="C27" t="s">
        <v>67</v>
      </c>
      <c r="D27" t="s">
        <v>68</v>
      </c>
      <c r="E27" t="s">
        <v>64</v>
      </c>
    </row>
    <row r="28" spans="1:5" x14ac:dyDescent="0.2">
      <c r="A28" t="s">
        <v>69</v>
      </c>
      <c r="B28" t="s">
        <v>70</v>
      </c>
      <c r="C28" t="s">
        <v>25</v>
      </c>
      <c r="D28" t="s">
        <v>39</v>
      </c>
      <c r="E28" t="s">
        <v>71</v>
      </c>
    </row>
    <row r="29" spans="1:5" x14ac:dyDescent="0.2">
      <c r="A29" t="s">
        <v>72</v>
      </c>
      <c r="B29" t="s">
        <v>73</v>
      </c>
      <c r="C29" t="s">
        <v>15</v>
      </c>
      <c r="D29" t="s">
        <v>64</v>
      </c>
    </row>
    <row r="30" spans="1:5" x14ac:dyDescent="0.2">
      <c r="A30" t="s">
        <v>74</v>
      </c>
      <c r="B30" t="s">
        <v>75</v>
      </c>
      <c r="C30" t="s">
        <v>25</v>
      </c>
      <c r="D30" t="s">
        <v>22</v>
      </c>
    </row>
    <row r="31" spans="1:5" x14ac:dyDescent="0.2">
      <c r="A31" t="s">
        <v>76</v>
      </c>
      <c r="B31" t="s">
        <v>77</v>
      </c>
      <c r="C31" t="s">
        <v>50</v>
      </c>
      <c r="D31" t="s">
        <v>25</v>
      </c>
      <c r="E31" t="s">
        <v>78</v>
      </c>
    </row>
    <row r="32" spans="1:5" x14ac:dyDescent="0.2">
      <c r="A32" t="s">
        <v>79</v>
      </c>
      <c r="B32" t="s">
        <v>80</v>
      </c>
      <c r="C32" t="s">
        <v>54</v>
      </c>
      <c r="D32" t="s">
        <v>43</v>
      </c>
      <c r="E32" t="s">
        <v>81</v>
      </c>
    </row>
    <row r="33" spans="1:5" x14ac:dyDescent="0.2">
      <c r="A33" t="s">
        <v>82</v>
      </c>
      <c r="B33" t="s">
        <v>83</v>
      </c>
      <c r="C33" t="s">
        <v>54</v>
      </c>
      <c r="D33" t="s">
        <v>43</v>
      </c>
      <c r="E33" t="s">
        <v>41</v>
      </c>
    </row>
    <row r="34" spans="1:5" x14ac:dyDescent="0.2">
      <c r="A34" t="s">
        <v>84</v>
      </c>
      <c r="B34" t="s">
        <v>85</v>
      </c>
      <c r="C34" t="s">
        <v>86</v>
      </c>
      <c r="D34" t="s">
        <v>64</v>
      </c>
    </row>
    <row r="35" spans="1:5" x14ac:dyDescent="0.2">
      <c r="A35" t="s">
        <v>87</v>
      </c>
      <c r="B35" t="s">
        <v>38</v>
      </c>
      <c r="C35" t="s">
        <v>9</v>
      </c>
      <c r="D35" t="s">
        <v>88</v>
      </c>
      <c r="E35" t="s">
        <v>89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599D-34AE-794F-94E5-BAFC365E1CD1}">
  <dimension ref="A1:AS36"/>
  <sheetViews>
    <sheetView tabSelected="1" topLeftCell="AH1" workbookViewId="0">
      <selection activeCell="AV25" sqref="AV25"/>
    </sheetView>
  </sheetViews>
  <sheetFormatPr baseColWidth="10" defaultRowHeight="16" x14ac:dyDescent="0.2"/>
  <cols>
    <col min="1" max="1" width="61" bestFit="1" customWidth="1"/>
    <col min="13" max="13" width="61" bestFit="1" customWidth="1"/>
    <col min="25" max="25" width="61" bestFit="1" customWidth="1"/>
    <col min="37" max="37" width="55" bestFit="1" customWidth="1"/>
    <col min="38" max="39" width="21" bestFit="1" customWidth="1"/>
  </cols>
  <sheetData>
    <row r="1" spans="1:45" x14ac:dyDescent="0.2">
      <c r="A1" s="1" t="s">
        <v>0</v>
      </c>
      <c r="B1" s="2" t="s">
        <v>115</v>
      </c>
      <c r="C1" s="2"/>
      <c r="D1" s="2"/>
      <c r="E1" s="2"/>
      <c r="F1" s="2" t="s">
        <v>2</v>
      </c>
      <c r="G1" s="2"/>
      <c r="H1" s="2"/>
      <c r="I1" s="2"/>
      <c r="M1" s="1" t="s">
        <v>0</v>
      </c>
      <c r="N1" s="2" t="s">
        <v>116</v>
      </c>
      <c r="O1" s="2"/>
      <c r="P1" s="2"/>
      <c r="Q1" s="2"/>
      <c r="R1" s="2" t="s">
        <v>2</v>
      </c>
      <c r="S1" s="2"/>
      <c r="T1" s="2"/>
      <c r="U1" s="2"/>
      <c r="Y1" s="1" t="s">
        <v>0</v>
      </c>
      <c r="Z1" s="2" t="s">
        <v>1</v>
      </c>
      <c r="AA1" s="2"/>
      <c r="AB1" s="2"/>
      <c r="AC1" s="2"/>
      <c r="AD1" s="2" t="s">
        <v>2</v>
      </c>
      <c r="AE1" s="2"/>
      <c r="AF1" s="2"/>
      <c r="AG1" s="2"/>
      <c r="AK1" s="1" t="s">
        <v>0</v>
      </c>
      <c r="AL1" s="3" t="s">
        <v>120</v>
      </c>
      <c r="AM1" s="4"/>
      <c r="AN1" s="4"/>
      <c r="AO1" s="5"/>
      <c r="AP1" s="3" t="s">
        <v>121</v>
      </c>
      <c r="AQ1" s="4"/>
      <c r="AR1" s="4"/>
      <c r="AS1" s="4"/>
    </row>
    <row r="2" spans="1:45" x14ac:dyDescent="0.2">
      <c r="A2" s="1"/>
      <c r="B2" s="1" t="s">
        <v>3</v>
      </c>
      <c r="C2" s="1" t="s">
        <v>4</v>
      </c>
      <c r="D2" s="1" t="s">
        <v>5</v>
      </c>
      <c r="E2" s="1" t="s">
        <v>6</v>
      </c>
      <c r="F2" s="1" t="s">
        <v>3</v>
      </c>
      <c r="G2" s="1" t="s">
        <v>4</v>
      </c>
      <c r="H2" s="1" t="s">
        <v>5</v>
      </c>
      <c r="I2" s="1" t="s">
        <v>6</v>
      </c>
      <c r="M2" s="1"/>
      <c r="N2" s="1" t="s">
        <v>3</v>
      </c>
      <c r="O2" s="1" t="s">
        <v>4</v>
      </c>
      <c r="P2" s="1" t="s">
        <v>5</v>
      </c>
      <c r="Q2" s="1" t="s">
        <v>6</v>
      </c>
      <c r="R2" s="1" t="s">
        <v>3</v>
      </c>
      <c r="S2" s="1" t="s">
        <v>4</v>
      </c>
      <c r="T2" s="1" t="s">
        <v>5</v>
      </c>
      <c r="U2" s="1" t="s">
        <v>6</v>
      </c>
      <c r="Y2" s="1"/>
      <c r="Z2" s="1" t="s">
        <v>3</v>
      </c>
      <c r="AA2" s="1" t="s">
        <v>4</v>
      </c>
      <c r="AB2" s="1" t="s">
        <v>5</v>
      </c>
      <c r="AC2" s="1" t="s">
        <v>6</v>
      </c>
      <c r="AD2" s="1" t="s">
        <v>3</v>
      </c>
      <c r="AE2" s="1" t="s">
        <v>4</v>
      </c>
      <c r="AF2" s="1" t="s">
        <v>5</v>
      </c>
      <c r="AG2" s="1" t="s">
        <v>6</v>
      </c>
      <c r="AK2" s="1"/>
      <c r="AL2" s="1" t="s">
        <v>3</v>
      </c>
      <c r="AM2" s="1" t="s">
        <v>4</v>
      </c>
      <c r="AN2" s="1" t="s">
        <v>5</v>
      </c>
      <c r="AO2" s="1" t="s">
        <v>6</v>
      </c>
      <c r="AP2" s="1" t="s">
        <v>3</v>
      </c>
      <c r="AQ2" s="1" t="s">
        <v>4</v>
      </c>
      <c r="AR2" s="1" t="s">
        <v>5</v>
      </c>
      <c r="AS2" s="1" t="s">
        <v>6</v>
      </c>
    </row>
    <row r="3" spans="1:45" x14ac:dyDescent="0.2">
      <c r="A3" t="s">
        <v>7</v>
      </c>
      <c r="M3" t="s">
        <v>7</v>
      </c>
      <c r="N3">
        <v>2033</v>
      </c>
      <c r="R3" t="s">
        <v>90</v>
      </c>
      <c r="Y3" t="s">
        <v>7</v>
      </c>
      <c r="AK3" t="str">
        <f>Y3</f>
        <v>SDM_ICHEC-EC-EARTH_rcp26_r12i1p1_CLMcom-CCLM4-8-17_all</v>
      </c>
      <c r="AL3" t="str">
        <f>IF(B3-N3 &gt; 0, B3-N3, "")</f>
        <v/>
      </c>
      <c r="AM3" t="str">
        <f>IF(C3-O3 &gt; 0, C3-O3, "")</f>
        <v/>
      </c>
      <c r="AN3" t="str">
        <f>IF(D3-P3 &gt; 0, D3-P3, "")</f>
        <v/>
      </c>
      <c r="AO3" t="str">
        <f>IF(E3-Q3 &gt; 0, E3-Q3, "")</f>
        <v/>
      </c>
      <c r="AP3" t="str">
        <f>IF(Z3-B3 &gt; 0, Z3-B3, "")</f>
        <v/>
      </c>
      <c r="AQ3" t="str">
        <f t="shared" ref="AQ3:AS3" si="0">IF(AA3-C3 &gt; 0, AA3-C3, "")</f>
        <v/>
      </c>
      <c r="AR3" t="str">
        <f t="shared" si="0"/>
        <v/>
      </c>
      <c r="AS3" t="str">
        <f t="shared" si="0"/>
        <v/>
      </c>
    </row>
    <row r="4" spans="1:45" x14ac:dyDescent="0.2">
      <c r="A4" t="s">
        <v>8</v>
      </c>
      <c r="B4">
        <v>2050</v>
      </c>
      <c r="F4" t="s">
        <v>9</v>
      </c>
      <c r="M4" t="s">
        <v>8</v>
      </c>
      <c r="N4">
        <v>2024</v>
      </c>
      <c r="O4">
        <v>2050</v>
      </c>
      <c r="R4" t="s">
        <v>91</v>
      </c>
      <c r="S4" t="s">
        <v>9</v>
      </c>
      <c r="Y4" t="s">
        <v>8</v>
      </c>
      <c r="AK4" t="str">
        <f t="shared" ref="AK4:AK38" si="1">Y4</f>
        <v>SDM_ICHEC-EC-EARTH_rcp26_r12i1p1_KNMI-RACMO22E_all</v>
      </c>
      <c r="AL4">
        <f>IF(B4-N4 &gt; 0, B4-N4, "")</f>
        <v>26</v>
      </c>
      <c r="AM4" t="str">
        <f>IF(C4-O4 &gt; 0, C4-O4, "")</f>
        <v/>
      </c>
      <c r="AN4" t="str">
        <f>IF(D4-P4 &gt; 0, D4-P4, "")</f>
        <v/>
      </c>
      <c r="AO4" t="str">
        <f>IF(E4-Q4 &gt; 0, E4-Q4, "")</f>
        <v/>
      </c>
      <c r="AP4" t="str">
        <f t="shared" ref="AP4:AP36" si="2">IF(Z4-B4 &gt; 0, Z4-B4, "")</f>
        <v/>
      </c>
      <c r="AQ4" t="str">
        <f t="shared" ref="AQ4:AQ36" si="3">IF(AA4-C4 &gt; 0, AA4-C4, "")</f>
        <v/>
      </c>
      <c r="AR4" t="str">
        <f t="shared" ref="AR4:AR36" si="4">IF(AB4-D4 &gt; 0, AB4-D4, "")</f>
        <v/>
      </c>
      <c r="AS4" t="str">
        <f t="shared" ref="AS4:AS36" si="5">IF(AC4-E4 &gt; 0, AC4-E4, "")</f>
        <v/>
      </c>
    </row>
    <row r="5" spans="1:45" x14ac:dyDescent="0.2">
      <c r="A5" t="s">
        <v>10</v>
      </c>
      <c r="B5">
        <v>2039</v>
      </c>
      <c r="F5" t="s">
        <v>11</v>
      </c>
      <c r="M5" t="s">
        <v>10</v>
      </c>
      <c r="N5">
        <v>2022</v>
      </c>
      <c r="O5">
        <v>2036</v>
      </c>
      <c r="R5" t="s">
        <v>83</v>
      </c>
      <c r="S5" t="s">
        <v>92</v>
      </c>
      <c r="Y5" t="s">
        <v>10</v>
      </c>
      <c r="AK5" t="str">
        <f t="shared" si="1"/>
        <v>SDM_ICHEC-EC-EARTH_rcp26_r12i1p1_SMHI-RCA4_all</v>
      </c>
      <c r="AL5">
        <f>IF(B5-N5 &gt; 0, B5-N5, "")</f>
        <v>17</v>
      </c>
      <c r="AM5" t="str">
        <f>IF(C5-O5 &gt; 0, C5-O5, "")</f>
        <v/>
      </c>
      <c r="AN5" t="str">
        <f>IF(D5-P5 &gt; 0, D5-P5, "")</f>
        <v/>
      </c>
      <c r="AO5" t="str">
        <f>IF(E5-Q5 &gt; 0, E5-Q5, "")</f>
        <v/>
      </c>
      <c r="AP5" t="str">
        <f t="shared" si="2"/>
        <v/>
      </c>
      <c r="AQ5" t="str">
        <f t="shared" si="3"/>
        <v/>
      </c>
      <c r="AR5" t="str">
        <f t="shared" si="4"/>
        <v/>
      </c>
      <c r="AS5" t="str">
        <f t="shared" si="5"/>
        <v/>
      </c>
    </row>
    <row r="6" spans="1:45" x14ac:dyDescent="0.2">
      <c r="A6" t="s">
        <v>12</v>
      </c>
      <c r="M6" t="s">
        <v>12</v>
      </c>
      <c r="N6">
        <v>2033</v>
      </c>
      <c r="R6" t="s">
        <v>90</v>
      </c>
      <c r="Y6" t="s">
        <v>12</v>
      </c>
      <c r="AK6" t="str">
        <f t="shared" si="1"/>
        <v>SDM_ICHEC-EC-EARTH_rcp26_r3i1p1_DMI-HIRHAM5_all</v>
      </c>
      <c r="AL6" t="str">
        <f>IF(B6-N6 &gt; 0, B6-N6, "")</f>
        <v/>
      </c>
      <c r="AM6" t="str">
        <f>IF(C6-O6 &gt; 0, C6-O6, "")</f>
        <v/>
      </c>
      <c r="AN6" t="str">
        <f>IF(D6-P6 &gt; 0, D6-P6, "")</f>
        <v/>
      </c>
      <c r="AO6" t="str">
        <f>IF(E6-Q6 &gt; 0, E6-Q6, "")</f>
        <v/>
      </c>
      <c r="AP6" t="str">
        <f t="shared" si="2"/>
        <v/>
      </c>
      <c r="AQ6" t="str">
        <f t="shared" si="3"/>
        <v/>
      </c>
      <c r="AR6" t="str">
        <f t="shared" si="4"/>
        <v/>
      </c>
      <c r="AS6" t="str">
        <f t="shared" si="5"/>
        <v/>
      </c>
    </row>
    <row r="7" spans="1:45" x14ac:dyDescent="0.2">
      <c r="A7" t="s">
        <v>13</v>
      </c>
      <c r="B7">
        <v>2021</v>
      </c>
      <c r="C7">
        <v>2054</v>
      </c>
      <c r="F7" t="s">
        <v>14</v>
      </c>
      <c r="G7" t="s">
        <v>15</v>
      </c>
      <c r="M7" t="s">
        <v>13</v>
      </c>
      <c r="N7">
        <v>2013</v>
      </c>
      <c r="O7">
        <v>2020</v>
      </c>
      <c r="R7" t="s">
        <v>93</v>
      </c>
      <c r="S7" t="s">
        <v>94</v>
      </c>
      <c r="Y7" t="s">
        <v>13</v>
      </c>
      <c r="Z7">
        <v>2053</v>
      </c>
      <c r="AD7" t="s">
        <v>86</v>
      </c>
      <c r="AK7" t="str">
        <f t="shared" si="1"/>
        <v>SDM_MOHC-HadGEM2-ES_rcp26_r1i1p1_SMHI-RCA4_all</v>
      </c>
      <c r="AL7">
        <f>IF(B7-N7 &gt; 0, B7-N7, "")</f>
        <v>8</v>
      </c>
      <c r="AM7">
        <f>IF(C7-O7 &gt; 0, C7-O7, "")</f>
        <v>34</v>
      </c>
      <c r="AN7" t="str">
        <f>IF(D7-P7 &gt; 0, D7-P7, "")</f>
        <v/>
      </c>
      <c r="AO7" t="str">
        <f>IF(E7-Q7 &gt; 0, E7-Q7, "")</f>
        <v/>
      </c>
      <c r="AP7">
        <f t="shared" si="2"/>
        <v>32</v>
      </c>
      <c r="AQ7" t="str">
        <f t="shared" si="3"/>
        <v/>
      </c>
      <c r="AR7" t="str">
        <f t="shared" si="4"/>
        <v/>
      </c>
      <c r="AS7" t="str">
        <f t="shared" si="5"/>
        <v/>
      </c>
    </row>
    <row r="8" spans="1:45" x14ac:dyDescent="0.2">
      <c r="A8" t="s">
        <v>16</v>
      </c>
      <c r="B8">
        <v>2039</v>
      </c>
      <c r="F8" t="s">
        <v>11</v>
      </c>
      <c r="M8" t="s">
        <v>16</v>
      </c>
      <c r="N8">
        <v>2022</v>
      </c>
      <c r="O8">
        <v>2039</v>
      </c>
      <c r="R8" t="s">
        <v>83</v>
      </c>
      <c r="S8" t="s">
        <v>11</v>
      </c>
      <c r="Y8" t="s">
        <v>16</v>
      </c>
      <c r="AK8" t="str">
        <f t="shared" si="1"/>
        <v>SDM_MPI-M-MPI-ESM-LR_rcp26_r1i1p1_MPI-CSC-REMO2009_all</v>
      </c>
      <c r="AL8">
        <f>IF(B8-N8 &gt; 0, B8-N8, "")</f>
        <v>17</v>
      </c>
      <c r="AM8" t="str">
        <f>IF(C8-O8 &gt; 0, C8-O8, "")</f>
        <v/>
      </c>
      <c r="AN8" t="str">
        <f>IF(D8-P8 &gt; 0, D8-P8, "")</f>
        <v/>
      </c>
      <c r="AO8" t="str">
        <f>IF(E8-Q8 &gt; 0, E8-Q8, "")</f>
        <v/>
      </c>
      <c r="AP8" t="str">
        <f t="shared" si="2"/>
        <v/>
      </c>
      <c r="AQ8" t="str">
        <f t="shared" si="3"/>
        <v/>
      </c>
      <c r="AR8" t="str">
        <f t="shared" si="4"/>
        <v/>
      </c>
      <c r="AS8" t="str">
        <f t="shared" si="5"/>
        <v/>
      </c>
    </row>
    <row r="9" spans="1:45" x14ac:dyDescent="0.2">
      <c r="A9" t="s">
        <v>17</v>
      </c>
      <c r="B9">
        <v>2026</v>
      </c>
      <c r="F9" t="s">
        <v>18</v>
      </c>
      <c r="M9" t="s">
        <v>17</v>
      </c>
      <c r="N9">
        <v>2017</v>
      </c>
      <c r="O9">
        <v>2026</v>
      </c>
      <c r="R9" t="s">
        <v>95</v>
      </c>
      <c r="S9" t="s">
        <v>18</v>
      </c>
      <c r="Y9" t="s">
        <v>17</v>
      </c>
      <c r="Z9">
        <v>2039</v>
      </c>
      <c r="AD9" t="s">
        <v>11</v>
      </c>
      <c r="AK9" t="str">
        <f t="shared" si="1"/>
        <v>SDM_MPI-M-MPI-ESM-LR_rcp26_r1i1p1_SMHI-RCA4_all</v>
      </c>
      <c r="AL9">
        <f>IF(B9-N9 &gt; 0, B9-N9, "")</f>
        <v>9</v>
      </c>
      <c r="AM9" t="str">
        <f>IF(C9-O9 &gt; 0, C9-O9, "")</f>
        <v/>
      </c>
      <c r="AN9" t="str">
        <f>IF(D9-P9 &gt; 0, D9-P9, "")</f>
        <v/>
      </c>
      <c r="AO9" t="str">
        <f>IF(E9-Q9 &gt; 0, E9-Q9, "")</f>
        <v/>
      </c>
      <c r="AP9">
        <f t="shared" si="2"/>
        <v>13</v>
      </c>
      <c r="AQ9" t="str">
        <f t="shared" si="3"/>
        <v/>
      </c>
      <c r="AR9" t="str">
        <f t="shared" si="4"/>
        <v/>
      </c>
      <c r="AS9" t="str">
        <f t="shared" si="5"/>
        <v/>
      </c>
    </row>
    <row r="10" spans="1:45" x14ac:dyDescent="0.2">
      <c r="A10" t="s">
        <v>19</v>
      </c>
      <c r="M10" t="s">
        <v>19</v>
      </c>
      <c r="N10">
        <v>2012</v>
      </c>
      <c r="R10" t="s">
        <v>96</v>
      </c>
      <c r="Y10" t="s">
        <v>19</v>
      </c>
      <c r="AK10" t="str">
        <f t="shared" si="1"/>
        <v>SDM_MPI-M-MPI-ESM-LR_rcp26_r2i1p1_MPI-CSC-REMO2009_all</v>
      </c>
      <c r="AL10" t="str">
        <f>IF(B10-N10 &gt; 0, B10-N10, "")</f>
        <v/>
      </c>
      <c r="AM10" t="str">
        <f>IF(C10-O10 &gt; 0, C10-O10, "")</f>
        <v/>
      </c>
      <c r="AN10" t="str">
        <f>IF(D10-P10 &gt; 0, D10-P10, "")</f>
        <v/>
      </c>
      <c r="AO10" t="str">
        <f>IF(E10-Q10 &gt; 0, E10-Q10, "")</f>
        <v/>
      </c>
      <c r="AP10" t="str">
        <f t="shared" si="2"/>
        <v/>
      </c>
      <c r="AQ10" t="str">
        <f t="shared" si="3"/>
        <v/>
      </c>
      <c r="AR10" t="str">
        <f t="shared" si="4"/>
        <v/>
      </c>
      <c r="AS10" t="str">
        <f t="shared" si="5"/>
        <v/>
      </c>
    </row>
    <row r="11" spans="1:45" x14ac:dyDescent="0.2">
      <c r="A11" t="s">
        <v>20</v>
      </c>
      <c r="B11">
        <v>2055</v>
      </c>
      <c r="C11">
        <v>2076</v>
      </c>
      <c r="F11" t="s">
        <v>21</v>
      </c>
      <c r="G11" t="s">
        <v>22</v>
      </c>
      <c r="M11" t="s">
        <v>20</v>
      </c>
      <c r="N11">
        <v>2033</v>
      </c>
      <c r="O11">
        <v>2055</v>
      </c>
      <c r="R11" t="s">
        <v>90</v>
      </c>
      <c r="S11" t="s">
        <v>21</v>
      </c>
      <c r="Y11" t="s">
        <v>20</v>
      </c>
      <c r="Z11">
        <v>2065</v>
      </c>
      <c r="AD11" t="s">
        <v>36</v>
      </c>
      <c r="AK11" t="str">
        <f t="shared" si="1"/>
        <v>SDM_CNRM-CERFACS-CNRM-CM5_rcp45_r1i1p1_CLMcom-CCLM4-8-17</v>
      </c>
      <c r="AL11">
        <f>IF(B11-N11 &gt; 0, B11-N11, "")</f>
        <v>22</v>
      </c>
      <c r="AM11">
        <f>IF(C11-O11 &gt; 0, C11-O11, "")</f>
        <v>21</v>
      </c>
      <c r="AN11" t="str">
        <f>IF(D11-P11 &gt; 0, D11-P11, "")</f>
        <v/>
      </c>
      <c r="AO11" t="str">
        <f>IF(E11-Q11 &gt; 0, E11-Q11, "")</f>
        <v/>
      </c>
      <c r="AP11">
        <f t="shared" si="2"/>
        <v>10</v>
      </c>
      <c r="AQ11" t="str">
        <f t="shared" si="3"/>
        <v/>
      </c>
      <c r="AR11" t="str">
        <f t="shared" si="4"/>
        <v/>
      </c>
      <c r="AS11" t="str">
        <f t="shared" si="5"/>
        <v/>
      </c>
    </row>
    <row r="12" spans="1:45" x14ac:dyDescent="0.2">
      <c r="A12" t="s">
        <v>23</v>
      </c>
      <c r="B12">
        <v>2049</v>
      </c>
      <c r="C12">
        <v>2058</v>
      </c>
      <c r="F12" t="s">
        <v>24</v>
      </c>
      <c r="G12" t="s">
        <v>25</v>
      </c>
      <c r="M12" t="s">
        <v>23</v>
      </c>
      <c r="N12">
        <v>2013</v>
      </c>
      <c r="O12">
        <v>2049</v>
      </c>
      <c r="R12" t="s">
        <v>93</v>
      </c>
      <c r="S12" t="s">
        <v>24</v>
      </c>
      <c r="Y12" t="s">
        <v>23</v>
      </c>
      <c r="Z12">
        <v>2057</v>
      </c>
      <c r="AD12" t="s">
        <v>28</v>
      </c>
      <c r="AK12" t="str">
        <f t="shared" si="1"/>
        <v>SDM_CNRM-CERFACS-CNRM-CM5_rcp45_r1i1p1_CNRM-ALADIN53</v>
      </c>
      <c r="AL12">
        <f>IF(B12-N12 &gt; 0, B12-N12, "")</f>
        <v>36</v>
      </c>
      <c r="AM12">
        <f>IF(C12-O12 &gt; 0, C12-O12, "")</f>
        <v>9</v>
      </c>
      <c r="AN12" t="str">
        <f>IF(D12-P12 &gt; 0, D12-P12, "")</f>
        <v/>
      </c>
      <c r="AO12" t="str">
        <f>IF(E12-Q12 &gt; 0, E12-Q12, "")</f>
        <v/>
      </c>
      <c r="AP12">
        <f t="shared" si="2"/>
        <v>8</v>
      </c>
      <c r="AQ12" t="str">
        <f t="shared" si="3"/>
        <v/>
      </c>
      <c r="AR12" t="str">
        <f t="shared" si="4"/>
        <v/>
      </c>
      <c r="AS12" t="str">
        <f t="shared" si="5"/>
        <v/>
      </c>
    </row>
    <row r="13" spans="1:45" x14ac:dyDescent="0.2">
      <c r="A13" t="s">
        <v>26</v>
      </c>
      <c r="B13">
        <v>2046</v>
      </c>
      <c r="C13">
        <v>2057</v>
      </c>
      <c r="F13" t="s">
        <v>27</v>
      </c>
      <c r="G13" t="s">
        <v>28</v>
      </c>
      <c r="M13" t="s">
        <v>26</v>
      </c>
      <c r="N13">
        <v>2013</v>
      </c>
      <c r="O13">
        <v>2046</v>
      </c>
      <c r="R13" t="s">
        <v>93</v>
      </c>
      <c r="S13" t="s">
        <v>27</v>
      </c>
      <c r="Y13" t="s">
        <v>26</v>
      </c>
      <c r="Z13">
        <v>2056</v>
      </c>
      <c r="AD13" t="s">
        <v>43</v>
      </c>
      <c r="AK13" t="str">
        <f t="shared" si="1"/>
        <v>SDM_CNRM-CERFACS-CNRM-CM5_rcp45_r1i1p1_SMHI-RCA4</v>
      </c>
      <c r="AL13">
        <f>IF(B13-N13 &gt; 0, B13-N13, "")</f>
        <v>33</v>
      </c>
      <c r="AM13">
        <f>IF(C13-O13 &gt; 0, C13-O13, "")</f>
        <v>11</v>
      </c>
      <c r="AN13" t="str">
        <f>IF(D13-P13 &gt; 0, D13-P13, "")</f>
        <v/>
      </c>
      <c r="AO13" t="str">
        <f>IF(E13-Q13 &gt; 0, E13-Q13, "")</f>
        <v/>
      </c>
      <c r="AP13">
        <f t="shared" si="2"/>
        <v>10</v>
      </c>
      <c r="AQ13" t="str">
        <f t="shared" si="3"/>
        <v/>
      </c>
      <c r="AR13" t="str">
        <f t="shared" si="4"/>
        <v/>
      </c>
      <c r="AS13" t="str">
        <f t="shared" si="5"/>
        <v/>
      </c>
    </row>
    <row r="14" spans="1:45" x14ac:dyDescent="0.2">
      <c r="A14" t="s">
        <v>29</v>
      </c>
      <c r="B14">
        <v>2050</v>
      </c>
      <c r="C14">
        <v>2061</v>
      </c>
      <c r="F14" t="s">
        <v>9</v>
      </c>
      <c r="G14" t="s">
        <v>30</v>
      </c>
      <c r="M14" t="s">
        <v>29</v>
      </c>
      <c r="N14">
        <v>2021</v>
      </c>
      <c r="O14">
        <v>2047</v>
      </c>
      <c r="R14" t="s">
        <v>14</v>
      </c>
      <c r="S14" t="s">
        <v>97</v>
      </c>
      <c r="Y14" t="s">
        <v>29</v>
      </c>
      <c r="Z14">
        <v>2057</v>
      </c>
      <c r="AD14" t="s">
        <v>28</v>
      </c>
      <c r="AK14" t="str">
        <f t="shared" si="1"/>
        <v>SDM_ICHEC-EC-EARTH_rcp45_r12i1p1_CLMcom-CCLM4-8-17</v>
      </c>
      <c r="AL14">
        <f>IF(B14-N14 &gt; 0, B14-N14, "")</f>
        <v>29</v>
      </c>
      <c r="AM14">
        <f>IF(C14-O14 &gt; 0, C14-O14, "")</f>
        <v>14</v>
      </c>
      <c r="AN14" t="str">
        <f>IF(D14-P14 &gt; 0, D14-P14, "")</f>
        <v/>
      </c>
      <c r="AO14" t="str">
        <f>IF(E14-Q14 &gt; 0, E14-Q14, "")</f>
        <v/>
      </c>
      <c r="AP14">
        <f t="shared" si="2"/>
        <v>7</v>
      </c>
      <c r="AQ14" t="str">
        <f t="shared" si="3"/>
        <v/>
      </c>
      <c r="AR14" t="str">
        <f t="shared" si="4"/>
        <v/>
      </c>
      <c r="AS14" t="str">
        <f t="shared" si="5"/>
        <v/>
      </c>
    </row>
    <row r="15" spans="1:45" x14ac:dyDescent="0.2">
      <c r="A15" t="s">
        <v>31</v>
      </c>
      <c r="B15">
        <v>2032</v>
      </c>
      <c r="C15">
        <v>2052</v>
      </c>
      <c r="F15" t="s">
        <v>32</v>
      </c>
      <c r="G15" t="s">
        <v>33</v>
      </c>
      <c r="M15" t="s">
        <v>31</v>
      </c>
      <c r="N15">
        <v>2014</v>
      </c>
      <c r="O15">
        <v>2032</v>
      </c>
      <c r="P15">
        <v>2076</v>
      </c>
      <c r="R15" t="s">
        <v>98</v>
      </c>
      <c r="S15" t="s">
        <v>32</v>
      </c>
      <c r="T15" t="s">
        <v>22</v>
      </c>
      <c r="Y15" t="s">
        <v>31</v>
      </c>
      <c r="Z15">
        <v>2051</v>
      </c>
      <c r="AA15">
        <v>2078</v>
      </c>
      <c r="AD15" t="s">
        <v>75</v>
      </c>
      <c r="AE15" t="s">
        <v>117</v>
      </c>
      <c r="AK15" t="str">
        <f t="shared" si="1"/>
        <v>SDM_ICHEC-EC-EARTH_rcp45_r12i1p1_SMHI-RCA4</v>
      </c>
      <c r="AL15">
        <f>IF(B15-N15 &gt; 0, B15-N15, "")</f>
        <v>18</v>
      </c>
      <c r="AM15">
        <f>IF(C15-O15 &gt; 0, C15-O15, "")</f>
        <v>20</v>
      </c>
      <c r="AN15" t="str">
        <f>IF(D15-P15 &gt; 0, D15-P15, "")</f>
        <v/>
      </c>
      <c r="AO15" t="str">
        <f>IF(E15-Q15 &gt; 0, E15-Q15, "")</f>
        <v/>
      </c>
      <c r="AP15">
        <f t="shared" si="2"/>
        <v>19</v>
      </c>
      <c r="AQ15">
        <f t="shared" si="3"/>
        <v>26</v>
      </c>
      <c r="AR15" t="str">
        <f t="shared" si="4"/>
        <v/>
      </c>
      <c r="AS15" t="str">
        <f t="shared" si="5"/>
        <v/>
      </c>
    </row>
    <row r="16" spans="1:45" x14ac:dyDescent="0.2">
      <c r="A16" t="s">
        <v>34</v>
      </c>
      <c r="B16">
        <v>2031</v>
      </c>
      <c r="C16">
        <v>2065</v>
      </c>
      <c r="F16" t="s">
        <v>35</v>
      </c>
      <c r="G16" t="s">
        <v>36</v>
      </c>
      <c r="M16" t="s">
        <v>34</v>
      </c>
      <c r="N16">
        <v>2018</v>
      </c>
      <c r="O16">
        <v>2031</v>
      </c>
      <c r="P16">
        <v>2076</v>
      </c>
      <c r="R16" t="s">
        <v>99</v>
      </c>
      <c r="S16" t="s">
        <v>35</v>
      </c>
      <c r="T16" t="s">
        <v>22</v>
      </c>
      <c r="Y16" t="s">
        <v>34</v>
      </c>
      <c r="Z16">
        <v>2065</v>
      </c>
      <c r="AA16">
        <v>2082</v>
      </c>
      <c r="AD16" t="s">
        <v>36</v>
      </c>
      <c r="AE16" t="s">
        <v>118</v>
      </c>
      <c r="AK16" t="str">
        <f t="shared" si="1"/>
        <v>SDM_ICHEC-EC-EARTH_rcp45_r1i1p1_KNMI-RACMO22E</v>
      </c>
      <c r="AL16">
        <f>IF(B16-N16 &gt; 0, B16-N16, "")</f>
        <v>13</v>
      </c>
      <c r="AM16">
        <f>IF(C16-O16 &gt; 0, C16-O16, "")</f>
        <v>34</v>
      </c>
      <c r="AN16" t="str">
        <f>IF(D16-P16 &gt; 0, D16-P16, "")</f>
        <v/>
      </c>
      <c r="AO16" t="str">
        <f>IF(E16-Q16 &gt; 0, E16-Q16, "")</f>
        <v/>
      </c>
      <c r="AP16">
        <f t="shared" si="2"/>
        <v>34</v>
      </c>
      <c r="AQ16">
        <f t="shared" si="3"/>
        <v>17</v>
      </c>
      <c r="AR16" t="str">
        <f t="shared" si="4"/>
        <v/>
      </c>
      <c r="AS16" t="str">
        <f t="shared" si="5"/>
        <v/>
      </c>
    </row>
    <row r="17" spans="1:45" x14ac:dyDescent="0.2">
      <c r="A17" t="s">
        <v>37</v>
      </c>
      <c r="B17">
        <v>2038</v>
      </c>
      <c r="C17">
        <v>2073</v>
      </c>
      <c r="F17" t="s">
        <v>38</v>
      </c>
      <c r="G17" t="s">
        <v>39</v>
      </c>
      <c r="M17" t="s">
        <v>37</v>
      </c>
      <c r="N17">
        <v>2025</v>
      </c>
      <c r="O17">
        <v>2038</v>
      </c>
      <c r="R17" t="s">
        <v>45</v>
      </c>
      <c r="S17" t="s">
        <v>38</v>
      </c>
      <c r="Y17" t="s">
        <v>37</v>
      </c>
      <c r="Z17">
        <v>2071</v>
      </c>
      <c r="AD17" t="s">
        <v>78</v>
      </c>
      <c r="AK17" t="str">
        <f t="shared" si="1"/>
        <v>SDM_ICHEC-EC-EARTH_rcp45_r3i1p1_DMI-HIRHAM5</v>
      </c>
      <c r="AL17">
        <f>IF(B17-N17 &gt; 0, B17-N17, "")</f>
        <v>13</v>
      </c>
      <c r="AM17">
        <f>IF(C17-O17 &gt; 0, C17-O17, "")</f>
        <v>35</v>
      </c>
      <c r="AN17" t="str">
        <f>IF(D17-P17 &gt; 0, D17-P17, "")</f>
        <v/>
      </c>
      <c r="AO17" t="str">
        <f>IF(E17-Q17 &gt; 0, E17-Q17, "")</f>
        <v/>
      </c>
      <c r="AP17">
        <f t="shared" si="2"/>
        <v>33</v>
      </c>
      <c r="AQ17" t="str">
        <f t="shared" si="3"/>
        <v/>
      </c>
      <c r="AR17" t="str">
        <f t="shared" si="4"/>
        <v/>
      </c>
      <c r="AS17" t="str">
        <f t="shared" si="5"/>
        <v/>
      </c>
    </row>
    <row r="18" spans="1:45" x14ac:dyDescent="0.2">
      <c r="A18" t="s">
        <v>40</v>
      </c>
      <c r="B18">
        <v>2038</v>
      </c>
      <c r="C18">
        <v>2070</v>
      </c>
      <c r="F18" t="s">
        <v>38</v>
      </c>
      <c r="G18" t="s">
        <v>41</v>
      </c>
      <c r="M18" t="s">
        <v>40</v>
      </c>
      <c r="N18">
        <v>2026</v>
      </c>
      <c r="O18">
        <v>2037</v>
      </c>
      <c r="P18">
        <v>2079</v>
      </c>
      <c r="R18" t="s">
        <v>18</v>
      </c>
      <c r="S18" t="s">
        <v>100</v>
      </c>
      <c r="T18" t="s">
        <v>101</v>
      </c>
      <c r="Y18" t="s">
        <v>40</v>
      </c>
      <c r="Z18">
        <v>2069</v>
      </c>
      <c r="AD18" t="s">
        <v>47</v>
      </c>
      <c r="AK18" t="str">
        <f t="shared" si="1"/>
        <v>SDM_IPSL-IPSL-CM5A-MR_rcp45_r1i1p1_IPSL-INERIS-WRF331F</v>
      </c>
      <c r="AL18">
        <f>IF(B18-N18 &gt; 0, B18-N18, "")</f>
        <v>12</v>
      </c>
      <c r="AM18">
        <f>IF(C18-O18 &gt; 0, C18-O18, "")</f>
        <v>33</v>
      </c>
      <c r="AN18" t="str">
        <f>IF(D18-P18 &gt; 0, D18-P18, "")</f>
        <v/>
      </c>
      <c r="AO18" t="str">
        <f>IF(E18-Q18 &gt; 0, E18-Q18, "")</f>
        <v/>
      </c>
      <c r="AP18">
        <f t="shared" si="2"/>
        <v>31</v>
      </c>
      <c r="AQ18" t="str">
        <f t="shared" si="3"/>
        <v/>
      </c>
      <c r="AR18" t="str">
        <f t="shared" si="4"/>
        <v/>
      </c>
      <c r="AS18" t="str">
        <f t="shared" si="5"/>
        <v/>
      </c>
    </row>
    <row r="19" spans="1:45" x14ac:dyDescent="0.2">
      <c r="A19" t="s">
        <v>42</v>
      </c>
      <c r="B19">
        <v>2038</v>
      </c>
      <c r="C19">
        <v>2056</v>
      </c>
      <c r="F19" t="s">
        <v>38</v>
      </c>
      <c r="G19" t="s">
        <v>43</v>
      </c>
      <c r="M19" t="s">
        <v>42</v>
      </c>
      <c r="N19">
        <v>2009</v>
      </c>
      <c r="O19">
        <v>2036</v>
      </c>
      <c r="P19">
        <v>2070</v>
      </c>
      <c r="R19" t="s">
        <v>102</v>
      </c>
      <c r="S19" t="s">
        <v>92</v>
      </c>
      <c r="T19" t="s">
        <v>41</v>
      </c>
      <c r="Y19" t="s">
        <v>42</v>
      </c>
      <c r="Z19">
        <v>2047</v>
      </c>
      <c r="AA19">
        <v>2071</v>
      </c>
      <c r="AD19" t="s">
        <v>97</v>
      </c>
      <c r="AE19" t="s">
        <v>78</v>
      </c>
      <c r="AK19" t="str">
        <f t="shared" si="1"/>
        <v>SDM_IPSL-IPSL-CM5A-MR_rcp45_r1i1p1_SMHI-RCA4</v>
      </c>
      <c r="AL19">
        <f>IF(B19-N19 &gt; 0, B19-N19, "")</f>
        <v>29</v>
      </c>
      <c r="AM19">
        <f>IF(C19-O19 &gt; 0, C19-O19, "")</f>
        <v>20</v>
      </c>
      <c r="AN19" t="str">
        <f>IF(D19-P19 &gt; 0, D19-P19, "")</f>
        <v/>
      </c>
      <c r="AO19" t="str">
        <f>IF(E19-Q19 &gt; 0, E19-Q19, "")</f>
        <v/>
      </c>
      <c r="AP19">
        <f t="shared" si="2"/>
        <v>9</v>
      </c>
      <c r="AQ19">
        <f t="shared" si="3"/>
        <v>15</v>
      </c>
      <c r="AR19" t="str">
        <f t="shared" si="4"/>
        <v/>
      </c>
      <c r="AS19" t="str">
        <f t="shared" si="5"/>
        <v/>
      </c>
    </row>
    <row r="20" spans="1:45" x14ac:dyDescent="0.2">
      <c r="A20" t="s">
        <v>44</v>
      </c>
      <c r="B20">
        <v>2025</v>
      </c>
      <c r="C20">
        <v>2041</v>
      </c>
      <c r="D20">
        <v>2069</v>
      </c>
      <c r="F20" t="s">
        <v>45</v>
      </c>
      <c r="G20" t="s">
        <v>46</v>
      </c>
      <c r="H20" t="s">
        <v>47</v>
      </c>
      <c r="M20" t="s">
        <v>44</v>
      </c>
      <c r="N20">
        <v>2015</v>
      </c>
      <c r="O20">
        <v>2025</v>
      </c>
      <c r="P20">
        <v>2052</v>
      </c>
      <c r="R20" t="s">
        <v>103</v>
      </c>
      <c r="S20" t="s">
        <v>45</v>
      </c>
      <c r="T20" t="s">
        <v>33</v>
      </c>
      <c r="Y20" t="s">
        <v>44</v>
      </c>
      <c r="Z20">
        <v>2039</v>
      </c>
      <c r="AA20">
        <v>2053</v>
      </c>
      <c r="AD20" t="s">
        <v>11</v>
      </c>
      <c r="AE20" t="s">
        <v>86</v>
      </c>
      <c r="AK20" t="str">
        <f t="shared" si="1"/>
        <v>SDM_MOHC-HadGEM2-ES_rcp45_r1i1p1_CLMcom-CCLM4-8-17</v>
      </c>
      <c r="AL20">
        <f>IF(B20-N20 &gt; 0, B20-N20, "")</f>
        <v>10</v>
      </c>
      <c r="AM20">
        <f>IF(C20-O20 &gt; 0, C20-O20, "")</f>
        <v>16</v>
      </c>
      <c r="AN20">
        <f>IF(D20-P20 &gt; 0, D20-P20, "")</f>
        <v>17</v>
      </c>
      <c r="AO20" t="str">
        <f>IF(E20-Q20 &gt; 0, E20-Q20, "")</f>
        <v/>
      </c>
      <c r="AP20">
        <f t="shared" si="2"/>
        <v>14</v>
      </c>
      <c r="AQ20">
        <f t="shared" si="3"/>
        <v>12</v>
      </c>
      <c r="AR20" t="str">
        <f t="shared" si="4"/>
        <v/>
      </c>
      <c r="AS20" t="str">
        <f t="shared" si="5"/>
        <v/>
      </c>
    </row>
    <row r="21" spans="1:45" x14ac:dyDescent="0.2">
      <c r="A21" t="s">
        <v>48</v>
      </c>
      <c r="B21">
        <v>2027</v>
      </c>
      <c r="C21">
        <v>2043</v>
      </c>
      <c r="D21">
        <v>2070</v>
      </c>
      <c r="F21" t="s">
        <v>49</v>
      </c>
      <c r="G21" t="s">
        <v>50</v>
      </c>
      <c r="H21" t="s">
        <v>41</v>
      </c>
      <c r="M21" t="s">
        <v>48</v>
      </c>
      <c r="N21">
        <v>2012</v>
      </c>
      <c r="O21">
        <v>2027</v>
      </c>
      <c r="P21">
        <v>2060</v>
      </c>
      <c r="R21" t="s">
        <v>96</v>
      </c>
      <c r="S21" t="s">
        <v>49</v>
      </c>
      <c r="T21" t="s">
        <v>104</v>
      </c>
      <c r="Y21" t="s">
        <v>48</v>
      </c>
      <c r="Z21">
        <v>2039</v>
      </c>
      <c r="AA21">
        <v>2061</v>
      </c>
      <c r="AD21" t="s">
        <v>11</v>
      </c>
      <c r="AE21" t="s">
        <v>30</v>
      </c>
      <c r="AK21" t="str">
        <f t="shared" si="1"/>
        <v>SDM_MOHC-HadGEM2-ES_rcp45_r1i1p1_SMHI-RCA4</v>
      </c>
      <c r="AL21">
        <f>IF(B21-N21 &gt; 0, B21-N21, "")</f>
        <v>15</v>
      </c>
      <c r="AM21">
        <f>IF(C21-O21 &gt; 0, C21-O21, "")</f>
        <v>16</v>
      </c>
      <c r="AN21">
        <f>IF(D21-P21 &gt; 0, D21-P21, "")</f>
        <v>10</v>
      </c>
      <c r="AO21" t="str">
        <f>IF(E21-Q21 &gt; 0, E21-Q21, "")</f>
        <v/>
      </c>
      <c r="AP21">
        <f t="shared" si="2"/>
        <v>12</v>
      </c>
      <c r="AQ21">
        <f t="shared" si="3"/>
        <v>18</v>
      </c>
      <c r="AR21" t="str">
        <f t="shared" si="4"/>
        <v/>
      </c>
      <c r="AS21" t="str">
        <f t="shared" si="5"/>
        <v/>
      </c>
    </row>
    <row r="22" spans="1:45" x14ac:dyDescent="0.2">
      <c r="A22" t="s">
        <v>51</v>
      </c>
      <c r="B22">
        <v>2039</v>
      </c>
      <c r="C22">
        <v>2090</v>
      </c>
      <c r="F22" t="s">
        <v>11</v>
      </c>
      <c r="G22" t="s">
        <v>52</v>
      </c>
      <c r="M22" t="s">
        <v>51</v>
      </c>
      <c r="N22">
        <v>2026</v>
      </c>
      <c r="O22">
        <v>2038</v>
      </c>
      <c r="R22" t="s">
        <v>18</v>
      </c>
      <c r="S22" t="s">
        <v>38</v>
      </c>
      <c r="Y22" t="s">
        <v>51</v>
      </c>
      <c r="Z22">
        <v>2084</v>
      </c>
      <c r="AD22" t="s">
        <v>106</v>
      </c>
      <c r="AK22" t="str">
        <f t="shared" si="1"/>
        <v>SDM_MPI-M-MPI-ESM-LR_rcp45_r1i1p1_CLMcom-CCLM4-8-17</v>
      </c>
      <c r="AL22">
        <f>IF(B22-N22 &gt; 0, B22-N22, "")</f>
        <v>13</v>
      </c>
      <c r="AM22">
        <f>IF(C22-O22 &gt; 0, C22-O22, "")</f>
        <v>52</v>
      </c>
      <c r="AN22" t="str">
        <f>IF(D22-P22 &gt; 0, D22-P22, "")</f>
        <v/>
      </c>
      <c r="AO22" t="str">
        <f>IF(E22-Q22 &gt; 0, E22-Q22, "")</f>
        <v/>
      </c>
      <c r="AP22">
        <f t="shared" si="2"/>
        <v>45</v>
      </c>
      <c r="AQ22" t="str">
        <f t="shared" si="3"/>
        <v/>
      </c>
      <c r="AR22" t="str">
        <f t="shared" si="4"/>
        <v/>
      </c>
      <c r="AS22" t="str">
        <f t="shared" si="5"/>
        <v/>
      </c>
    </row>
    <row r="23" spans="1:45" x14ac:dyDescent="0.2">
      <c r="A23" t="s">
        <v>53</v>
      </c>
      <c r="B23">
        <v>2034</v>
      </c>
      <c r="C23">
        <v>2070</v>
      </c>
      <c r="F23" t="s">
        <v>54</v>
      </c>
      <c r="G23" t="s">
        <v>41</v>
      </c>
      <c r="M23" t="s">
        <v>53</v>
      </c>
      <c r="N23">
        <v>2021</v>
      </c>
      <c r="O23">
        <v>2032</v>
      </c>
      <c r="R23" t="s">
        <v>14</v>
      </c>
      <c r="S23" t="s">
        <v>32</v>
      </c>
      <c r="Y23" t="s">
        <v>53</v>
      </c>
      <c r="Z23">
        <v>2068</v>
      </c>
      <c r="AD23" t="s">
        <v>88</v>
      </c>
      <c r="AK23" t="str">
        <f t="shared" si="1"/>
        <v>SDM_MPI-M-MPI-ESM-LR_rcp45_r1i1p1_SMHI-RCA4</v>
      </c>
      <c r="AL23">
        <f>IF(B23-N23 &gt; 0, B23-N23, "")</f>
        <v>13</v>
      </c>
      <c r="AM23">
        <f>IF(C23-O23 &gt; 0, C23-O23, "")</f>
        <v>38</v>
      </c>
      <c r="AN23" t="str">
        <f>IF(D23-P23 &gt; 0, D23-P23, "")</f>
        <v/>
      </c>
      <c r="AO23" t="str">
        <f>IF(E23-Q23 &gt; 0, E23-Q23, "")</f>
        <v/>
      </c>
      <c r="AP23">
        <f t="shared" si="2"/>
        <v>34</v>
      </c>
      <c r="AQ23" t="str">
        <f t="shared" si="3"/>
        <v/>
      </c>
      <c r="AR23" t="str">
        <f t="shared" si="4"/>
        <v/>
      </c>
      <c r="AS23" t="str">
        <f t="shared" si="5"/>
        <v/>
      </c>
    </row>
    <row r="24" spans="1:45" x14ac:dyDescent="0.2">
      <c r="A24" t="s">
        <v>55</v>
      </c>
      <c r="B24">
        <v>2042</v>
      </c>
      <c r="C24">
        <v>2055</v>
      </c>
      <c r="D24">
        <v>2076</v>
      </c>
      <c r="F24" t="s">
        <v>56</v>
      </c>
      <c r="G24" t="s">
        <v>21</v>
      </c>
      <c r="H24" t="s">
        <v>22</v>
      </c>
      <c r="M24" t="s">
        <v>55</v>
      </c>
      <c r="N24">
        <v>2028</v>
      </c>
      <c r="O24">
        <v>2042</v>
      </c>
      <c r="P24">
        <v>2066</v>
      </c>
      <c r="Q24">
        <v>2087</v>
      </c>
      <c r="R24" t="s">
        <v>66</v>
      </c>
      <c r="S24" t="s">
        <v>56</v>
      </c>
      <c r="T24" t="s">
        <v>58</v>
      </c>
      <c r="U24" t="s">
        <v>71</v>
      </c>
      <c r="Y24" t="s">
        <v>55</v>
      </c>
      <c r="Z24">
        <v>2054</v>
      </c>
      <c r="AA24">
        <v>2066</v>
      </c>
      <c r="AB24">
        <v>2087</v>
      </c>
      <c r="AD24" t="s">
        <v>15</v>
      </c>
      <c r="AE24" t="s">
        <v>58</v>
      </c>
      <c r="AF24" t="s">
        <v>71</v>
      </c>
      <c r="AK24" t="str">
        <f t="shared" si="1"/>
        <v>SDM_CNRM-CERFACS-CNRM-CM5_rcp85_r1i1p1_CLMcom-CCLM4-8-17</v>
      </c>
      <c r="AL24">
        <f>IF(B24-N24 &gt; 0, B24-N24, "")</f>
        <v>14</v>
      </c>
      <c r="AM24">
        <f>IF(C24-O24 &gt; 0, C24-O24, "")</f>
        <v>13</v>
      </c>
      <c r="AN24">
        <f>IF(D24-P24 &gt; 0, D24-P24, "")</f>
        <v>10</v>
      </c>
      <c r="AO24" t="str">
        <f>IF(E24-Q24 &gt; 0, E24-Q24, "")</f>
        <v/>
      </c>
      <c r="AP24">
        <f t="shared" si="2"/>
        <v>12</v>
      </c>
      <c r="AQ24">
        <f t="shared" si="3"/>
        <v>11</v>
      </c>
      <c r="AR24">
        <f t="shared" si="4"/>
        <v>11</v>
      </c>
      <c r="AS24" t="str">
        <f t="shared" si="5"/>
        <v/>
      </c>
    </row>
    <row r="25" spans="1:45" x14ac:dyDescent="0.2">
      <c r="A25" t="s">
        <v>57</v>
      </c>
      <c r="B25">
        <v>2038</v>
      </c>
      <c r="C25">
        <v>2049</v>
      </c>
      <c r="D25">
        <v>2066</v>
      </c>
      <c r="E25">
        <v>2083</v>
      </c>
      <c r="F25" t="s">
        <v>38</v>
      </c>
      <c r="G25" t="s">
        <v>24</v>
      </c>
      <c r="H25" t="s">
        <v>58</v>
      </c>
      <c r="I25" t="s">
        <v>59</v>
      </c>
      <c r="M25" t="s">
        <v>57</v>
      </c>
      <c r="N25">
        <v>2019</v>
      </c>
      <c r="O25">
        <v>2037</v>
      </c>
      <c r="P25">
        <v>2056</v>
      </c>
      <c r="Q25">
        <v>2077</v>
      </c>
      <c r="R25" t="s">
        <v>105</v>
      </c>
      <c r="S25" t="s">
        <v>100</v>
      </c>
      <c r="T25" t="s">
        <v>43</v>
      </c>
      <c r="U25" t="s">
        <v>64</v>
      </c>
      <c r="Y25" t="s">
        <v>57</v>
      </c>
      <c r="Z25">
        <v>2047</v>
      </c>
      <c r="AA25">
        <v>2056</v>
      </c>
      <c r="AB25">
        <v>2077</v>
      </c>
      <c r="AD25" t="s">
        <v>97</v>
      </c>
      <c r="AE25" t="s">
        <v>43</v>
      </c>
      <c r="AF25" t="s">
        <v>64</v>
      </c>
      <c r="AK25" t="str">
        <f t="shared" si="1"/>
        <v>SDM_CNRM-CERFACS-CNRM-CM5_rcp85_r1i1p1_CNRM-ALADIN53</v>
      </c>
      <c r="AL25">
        <f>IF(B25-N25 &gt; 0, B25-N25, "")</f>
        <v>19</v>
      </c>
      <c r="AM25">
        <f>IF(C25-O25 &gt; 0, C25-O25, "")</f>
        <v>12</v>
      </c>
      <c r="AN25">
        <f>IF(D25-P25 &gt; 0, D25-P25, "")</f>
        <v>10</v>
      </c>
      <c r="AO25">
        <f>IF(E25-Q25 &gt; 0, E25-Q25, "")</f>
        <v>6</v>
      </c>
      <c r="AP25">
        <f t="shared" si="2"/>
        <v>9</v>
      </c>
      <c r="AQ25">
        <f t="shared" si="3"/>
        <v>7</v>
      </c>
      <c r="AR25">
        <f t="shared" si="4"/>
        <v>11</v>
      </c>
      <c r="AS25" t="str">
        <f t="shared" si="5"/>
        <v/>
      </c>
    </row>
    <row r="26" spans="1:45" x14ac:dyDescent="0.2">
      <c r="A26" t="s">
        <v>60</v>
      </c>
      <c r="B26">
        <v>2032</v>
      </c>
      <c r="C26">
        <v>2046</v>
      </c>
      <c r="D26">
        <v>2062</v>
      </c>
      <c r="E26">
        <v>2080</v>
      </c>
      <c r="F26" t="s">
        <v>32</v>
      </c>
      <c r="G26" t="s">
        <v>27</v>
      </c>
      <c r="H26" t="s">
        <v>61</v>
      </c>
      <c r="I26" t="s">
        <v>62</v>
      </c>
      <c r="M26" t="s">
        <v>60</v>
      </c>
      <c r="N26">
        <v>2019</v>
      </c>
      <c r="O26">
        <v>2032</v>
      </c>
      <c r="P26">
        <v>2054</v>
      </c>
      <c r="Q26">
        <v>2071</v>
      </c>
      <c r="R26" t="s">
        <v>105</v>
      </c>
      <c r="S26" t="s">
        <v>32</v>
      </c>
      <c r="T26" t="s">
        <v>15</v>
      </c>
      <c r="U26" t="s">
        <v>78</v>
      </c>
      <c r="Y26" t="s">
        <v>60</v>
      </c>
      <c r="Z26">
        <v>2043</v>
      </c>
      <c r="AA26">
        <v>2055</v>
      </c>
      <c r="AB26">
        <v>2070</v>
      </c>
      <c r="AC26">
        <v>2090</v>
      </c>
      <c r="AD26" t="s">
        <v>50</v>
      </c>
      <c r="AE26" t="s">
        <v>21</v>
      </c>
      <c r="AF26" t="s">
        <v>41</v>
      </c>
      <c r="AG26" t="s">
        <v>52</v>
      </c>
      <c r="AK26" t="str">
        <f t="shared" si="1"/>
        <v>SDM_CNRM-CERFACS-CNRM-CM5_rcp85_r1i1p1_SMHI-RCA4</v>
      </c>
      <c r="AL26">
        <f>IF(B26-N26 &gt; 0, B26-N26, "")</f>
        <v>13</v>
      </c>
      <c r="AM26">
        <f>IF(C26-O26 &gt; 0, C26-O26, "")</f>
        <v>14</v>
      </c>
      <c r="AN26">
        <f>IF(D26-P26 &gt; 0, D26-P26, "")</f>
        <v>8</v>
      </c>
      <c r="AO26">
        <f>IF(E26-Q26 &gt; 0, E26-Q26, "")</f>
        <v>9</v>
      </c>
      <c r="AP26">
        <f t="shared" si="2"/>
        <v>11</v>
      </c>
      <c r="AQ26">
        <f t="shared" si="3"/>
        <v>9</v>
      </c>
      <c r="AR26">
        <f t="shared" si="4"/>
        <v>8</v>
      </c>
      <c r="AS26">
        <f t="shared" si="5"/>
        <v>10</v>
      </c>
    </row>
    <row r="27" spans="1:45" x14ac:dyDescent="0.2">
      <c r="A27" t="s">
        <v>63</v>
      </c>
      <c r="B27">
        <v>2041</v>
      </c>
      <c r="C27">
        <v>2054</v>
      </c>
      <c r="D27">
        <v>2077</v>
      </c>
      <c r="E27">
        <v>2090</v>
      </c>
      <c r="F27" t="s">
        <v>46</v>
      </c>
      <c r="G27" t="s">
        <v>15</v>
      </c>
      <c r="H27" t="s">
        <v>64</v>
      </c>
      <c r="I27" t="s">
        <v>52</v>
      </c>
      <c r="M27" t="s">
        <v>63</v>
      </c>
      <c r="N27">
        <v>2025</v>
      </c>
      <c r="O27">
        <v>2040</v>
      </c>
      <c r="P27">
        <v>2069</v>
      </c>
      <c r="Q27">
        <v>2084</v>
      </c>
      <c r="R27" t="s">
        <v>45</v>
      </c>
      <c r="S27" t="s">
        <v>67</v>
      </c>
      <c r="T27" t="s">
        <v>47</v>
      </c>
      <c r="U27" t="s">
        <v>106</v>
      </c>
      <c r="Y27" t="s">
        <v>63</v>
      </c>
      <c r="Z27">
        <v>2049</v>
      </c>
      <c r="AA27">
        <v>2070</v>
      </c>
      <c r="AB27">
        <v>2084</v>
      </c>
      <c r="AD27" t="s">
        <v>24</v>
      </c>
      <c r="AE27" t="s">
        <v>41</v>
      </c>
      <c r="AF27" t="s">
        <v>106</v>
      </c>
      <c r="AK27" t="str">
        <f t="shared" si="1"/>
        <v>SDM_ICHEC-EC-EARTH_rcp85_r12i1p1_CLMcom-CCLM4-8-17</v>
      </c>
      <c r="AL27">
        <f>IF(B27-N27 &gt; 0, B27-N27, "")</f>
        <v>16</v>
      </c>
      <c r="AM27">
        <f>IF(C27-O27 &gt; 0, C27-O27, "")</f>
        <v>14</v>
      </c>
      <c r="AN27">
        <f>IF(D27-P27 &gt; 0, D27-P27, "")</f>
        <v>8</v>
      </c>
      <c r="AO27">
        <f>IF(E27-Q27 &gt; 0, E27-Q27, "")</f>
        <v>6</v>
      </c>
      <c r="AP27">
        <f t="shared" si="2"/>
        <v>8</v>
      </c>
      <c r="AQ27">
        <f t="shared" si="3"/>
        <v>16</v>
      </c>
      <c r="AR27">
        <f t="shared" si="4"/>
        <v>7</v>
      </c>
      <c r="AS27" t="str">
        <f t="shared" si="5"/>
        <v/>
      </c>
    </row>
    <row r="28" spans="1:45" x14ac:dyDescent="0.2">
      <c r="A28" t="s">
        <v>65</v>
      </c>
      <c r="B28">
        <v>2028</v>
      </c>
      <c r="C28">
        <v>2040</v>
      </c>
      <c r="D28">
        <v>2059</v>
      </c>
      <c r="E28">
        <v>2077</v>
      </c>
      <c r="F28" t="s">
        <v>66</v>
      </c>
      <c r="G28" t="s">
        <v>67</v>
      </c>
      <c r="H28" t="s">
        <v>68</v>
      </c>
      <c r="I28" t="s">
        <v>64</v>
      </c>
      <c r="M28" t="s">
        <v>65</v>
      </c>
      <c r="N28">
        <v>2014</v>
      </c>
      <c r="O28">
        <v>2028</v>
      </c>
      <c r="P28">
        <v>2044</v>
      </c>
      <c r="Q28">
        <v>2072</v>
      </c>
      <c r="R28" t="s">
        <v>98</v>
      </c>
      <c r="S28" t="s">
        <v>66</v>
      </c>
      <c r="T28" t="s">
        <v>107</v>
      </c>
      <c r="U28" t="s">
        <v>108</v>
      </c>
      <c r="Y28" t="s">
        <v>65</v>
      </c>
      <c r="Z28">
        <v>2037</v>
      </c>
      <c r="AA28">
        <v>2047</v>
      </c>
      <c r="AB28">
        <v>2072</v>
      </c>
      <c r="AC28">
        <v>2085</v>
      </c>
      <c r="AD28" t="s">
        <v>100</v>
      </c>
      <c r="AE28" t="s">
        <v>97</v>
      </c>
      <c r="AF28" t="s">
        <v>108</v>
      </c>
      <c r="AG28" t="s">
        <v>110</v>
      </c>
      <c r="AK28" t="str">
        <f t="shared" si="1"/>
        <v>SDM_ICHEC-EC-EARTH_rcp85_r12i1p1_SMHI-RCA4</v>
      </c>
      <c r="AL28">
        <f>IF(B28-N28 &gt; 0, B28-N28, "")</f>
        <v>14</v>
      </c>
      <c r="AM28">
        <f>IF(C28-O28 &gt; 0, C28-O28, "")</f>
        <v>12</v>
      </c>
      <c r="AN28">
        <f>IF(D28-P28 &gt; 0, D28-P28, "")</f>
        <v>15</v>
      </c>
      <c r="AO28">
        <f>IF(E28-Q28 &gt; 0, E28-Q28, "")</f>
        <v>5</v>
      </c>
      <c r="AP28">
        <f t="shared" si="2"/>
        <v>9</v>
      </c>
      <c r="AQ28">
        <f t="shared" si="3"/>
        <v>7</v>
      </c>
      <c r="AR28">
        <f t="shared" si="4"/>
        <v>13</v>
      </c>
      <c r="AS28">
        <f t="shared" si="5"/>
        <v>8</v>
      </c>
    </row>
    <row r="29" spans="1:45" x14ac:dyDescent="0.2">
      <c r="A29" t="s">
        <v>69</v>
      </c>
      <c r="B29">
        <v>2030</v>
      </c>
      <c r="C29">
        <v>2058</v>
      </c>
      <c r="D29">
        <v>2073</v>
      </c>
      <c r="E29">
        <v>2087</v>
      </c>
      <c r="F29" t="s">
        <v>70</v>
      </c>
      <c r="G29" t="s">
        <v>25</v>
      </c>
      <c r="H29" t="s">
        <v>39</v>
      </c>
      <c r="I29" t="s">
        <v>71</v>
      </c>
      <c r="M29" t="s">
        <v>69</v>
      </c>
      <c r="N29">
        <v>2017</v>
      </c>
      <c r="O29">
        <v>2030</v>
      </c>
      <c r="P29">
        <v>2066</v>
      </c>
      <c r="Q29">
        <v>2080</v>
      </c>
      <c r="R29" t="s">
        <v>95</v>
      </c>
      <c r="S29" t="s">
        <v>70</v>
      </c>
      <c r="T29" t="s">
        <v>58</v>
      </c>
      <c r="U29" t="s">
        <v>62</v>
      </c>
      <c r="Y29" t="s">
        <v>69</v>
      </c>
      <c r="Z29">
        <v>2057</v>
      </c>
      <c r="AA29">
        <v>2066</v>
      </c>
      <c r="AB29">
        <v>2080</v>
      </c>
      <c r="AD29" t="s">
        <v>28</v>
      </c>
      <c r="AE29" t="s">
        <v>58</v>
      </c>
      <c r="AF29" t="s">
        <v>62</v>
      </c>
      <c r="AK29" t="str">
        <f t="shared" si="1"/>
        <v>SDM_ICHEC-EC-EARTH_rcp85_r1i1p1_KNMI-RACMO22E</v>
      </c>
      <c r="AL29">
        <f>IF(B29-N29 &gt; 0, B29-N29, "")</f>
        <v>13</v>
      </c>
      <c r="AM29">
        <f>IF(C29-O29 &gt; 0, C29-O29, "")</f>
        <v>28</v>
      </c>
      <c r="AN29">
        <f>IF(D29-P29 &gt; 0, D29-P29, "")</f>
        <v>7</v>
      </c>
      <c r="AO29">
        <f>IF(E29-Q29 &gt; 0, E29-Q29, "")</f>
        <v>7</v>
      </c>
      <c r="AP29">
        <f t="shared" si="2"/>
        <v>27</v>
      </c>
      <c r="AQ29">
        <f t="shared" si="3"/>
        <v>8</v>
      </c>
      <c r="AR29">
        <f t="shared" si="4"/>
        <v>7</v>
      </c>
      <c r="AS29" t="str">
        <f t="shared" si="5"/>
        <v/>
      </c>
    </row>
    <row r="30" spans="1:45" x14ac:dyDescent="0.2">
      <c r="A30" t="s">
        <v>72</v>
      </c>
      <c r="B30">
        <v>2029</v>
      </c>
      <c r="C30">
        <v>2054</v>
      </c>
      <c r="D30">
        <v>2077</v>
      </c>
      <c r="F30" t="s">
        <v>73</v>
      </c>
      <c r="G30" t="s">
        <v>15</v>
      </c>
      <c r="H30" t="s">
        <v>64</v>
      </c>
      <c r="M30" t="s">
        <v>72</v>
      </c>
      <c r="N30">
        <v>2016</v>
      </c>
      <c r="O30">
        <v>2029</v>
      </c>
      <c r="P30">
        <v>2068</v>
      </c>
      <c r="Q30">
        <v>2085</v>
      </c>
      <c r="R30" t="s">
        <v>109</v>
      </c>
      <c r="S30" t="s">
        <v>73</v>
      </c>
      <c r="T30" t="s">
        <v>88</v>
      </c>
      <c r="U30" t="s">
        <v>110</v>
      </c>
      <c r="Y30" t="s">
        <v>72</v>
      </c>
      <c r="Z30">
        <v>2045</v>
      </c>
      <c r="AA30">
        <v>2069</v>
      </c>
      <c r="AB30">
        <v>2085</v>
      </c>
      <c r="AD30" t="s">
        <v>85</v>
      </c>
      <c r="AE30" t="s">
        <v>47</v>
      </c>
      <c r="AF30" t="s">
        <v>110</v>
      </c>
      <c r="AK30" t="str">
        <f t="shared" si="1"/>
        <v>SDM_ICHEC-EC-EARTH_rcp85_r3i1p1_DMI-HIRHAM5</v>
      </c>
      <c r="AL30">
        <f>IF(B30-N30 &gt; 0, B30-N30, "")</f>
        <v>13</v>
      </c>
      <c r="AM30">
        <f>IF(C30-O30 &gt; 0, C30-O30, "")</f>
        <v>25</v>
      </c>
      <c r="AN30">
        <f>IF(D30-P30 &gt; 0, D30-P30, "")</f>
        <v>9</v>
      </c>
      <c r="AO30" t="str">
        <f>IF(E30-Q30 &gt; 0, E30-Q30, "")</f>
        <v/>
      </c>
      <c r="AP30">
        <f t="shared" si="2"/>
        <v>16</v>
      </c>
      <c r="AQ30">
        <f t="shared" si="3"/>
        <v>15</v>
      </c>
      <c r="AR30">
        <f t="shared" si="4"/>
        <v>8</v>
      </c>
      <c r="AS30" t="str">
        <f t="shared" si="5"/>
        <v/>
      </c>
    </row>
    <row r="31" spans="1:45" x14ac:dyDescent="0.2">
      <c r="A31" t="s">
        <v>74</v>
      </c>
      <c r="B31">
        <v>2051</v>
      </c>
      <c r="C31">
        <v>2058</v>
      </c>
      <c r="D31">
        <v>2076</v>
      </c>
      <c r="F31" t="s">
        <v>75</v>
      </c>
      <c r="G31" t="s">
        <v>25</v>
      </c>
      <c r="H31" t="s">
        <v>22</v>
      </c>
      <c r="M31" t="s">
        <v>74</v>
      </c>
      <c r="N31">
        <v>2012</v>
      </c>
      <c r="O31">
        <v>2050</v>
      </c>
      <c r="P31">
        <v>2064</v>
      </c>
      <c r="Q31">
        <v>2089</v>
      </c>
      <c r="R31" t="s">
        <v>96</v>
      </c>
      <c r="S31" t="s">
        <v>9</v>
      </c>
      <c r="T31" t="s">
        <v>111</v>
      </c>
      <c r="U31" t="s">
        <v>112</v>
      </c>
      <c r="Y31" t="s">
        <v>74</v>
      </c>
      <c r="Z31">
        <v>2057</v>
      </c>
      <c r="AA31">
        <v>2064</v>
      </c>
      <c r="AB31">
        <v>2089</v>
      </c>
      <c r="AD31" t="s">
        <v>28</v>
      </c>
      <c r="AE31" t="s">
        <v>111</v>
      </c>
      <c r="AF31" t="s">
        <v>112</v>
      </c>
      <c r="AK31" t="str">
        <f t="shared" si="1"/>
        <v>SDM_IPSL-IPSL-CM5A-MR_rcp85_r1i1p1_IPSL-INERIS-WRF331F</v>
      </c>
      <c r="AL31">
        <f>IF(B31-N31 &gt; 0, B31-N31, "")</f>
        <v>39</v>
      </c>
      <c r="AM31">
        <f>IF(C31-O31 &gt; 0, C31-O31, "")</f>
        <v>8</v>
      </c>
      <c r="AN31">
        <f>IF(D31-P31 &gt; 0, D31-P31, "")</f>
        <v>12</v>
      </c>
      <c r="AO31" t="str">
        <f>IF(E31-Q31 &gt; 0, E31-Q31, "")</f>
        <v/>
      </c>
      <c r="AP31">
        <f t="shared" si="2"/>
        <v>6</v>
      </c>
      <c r="AQ31">
        <f t="shared" si="3"/>
        <v>6</v>
      </c>
      <c r="AR31">
        <f t="shared" si="4"/>
        <v>13</v>
      </c>
      <c r="AS31" t="str">
        <f t="shared" si="5"/>
        <v/>
      </c>
    </row>
    <row r="32" spans="1:45" x14ac:dyDescent="0.2">
      <c r="A32" t="s">
        <v>76</v>
      </c>
      <c r="B32">
        <v>2035</v>
      </c>
      <c r="C32">
        <v>2043</v>
      </c>
      <c r="D32">
        <v>2058</v>
      </c>
      <c r="E32">
        <v>2071</v>
      </c>
      <c r="F32" t="s">
        <v>77</v>
      </c>
      <c r="G32" t="s">
        <v>50</v>
      </c>
      <c r="H32" t="s">
        <v>25</v>
      </c>
      <c r="I32" t="s">
        <v>78</v>
      </c>
      <c r="M32" t="s">
        <v>76</v>
      </c>
      <c r="N32">
        <v>2012</v>
      </c>
      <c r="O32">
        <v>2035</v>
      </c>
      <c r="P32">
        <v>2049</v>
      </c>
      <c r="Q32">
        <v>2064</v>
      </c>
      <c r="R32" t="s">
        <v>96</v>
      </c>
      <c r="S32" t="s">
        <v>77</v>
      </c>
      <c r="T32" t="s">
        <v>24</v>
      </c>
      <c r="U32" t="s">
        <v>111</v>
      </c>
      <c r="Y32" t="s">
        <v>76</v>
      </c>
      <c r="Z32">
        <v>2042</v>
      </c>
      <c r="AA32">
        <v>2050</v>
      </c>
      <c r="AB32">
        <v>2064</v>
      </c>
      <c r="AC32">
        <v>2078</v>
      </c>
      <c r="AD32" t="s">
        <v>56</v>
      </c>
      <c r="AE32" t="s">
        <v>9</v>
      </c>
      <c r="AF32" t="s">
        <v>111</v>
      </c>
      <c r="AG32" t="s">
        <v>117</v>
      </c>
      <c r="AK32" t="str">
        <f t="shared" si="1"/>
        <v>SDM_IPSL-IPSL-CM5A-MR_rcp85_r1i1p1_SMHI-RCA4</v>
      </c>
      <c r="AL32">
        <f>IF(B32-N32 &gt; 0, B32-N32, "")</f>
        <v>23</v>
      </c>
      <c r="AM32">
        <f>IF(C32-O32 &gt; 0, C32-O32, "")</f>
        <v>8</v>
      </c>
      <c r="AN32">
        <f>IF(D32-P32 &gt; 0, D32-P32, "")</f>
        <v>9</v>
      </c>
      <c r="AO32">
        <f>IF(E32-Q32 &gt; 0, E32-Q32, "")</f>
        <v>7</v>
      </c>
      <c r="AP32">
        <f t="shared" si="2"/>
        <v>7</v>
      </c>
      <c r="AQ32">
        <f t="shared" si="3"/>
        <v>7</v>
      </c>
      <c r="AR32">
        <f t="shared" si="4"/>
        <v>6</v>
      </c>
      <c r="AS32">
        <f t="shared" si="5"/>
        <v>7</v>
      </c>
    </row>
    <row r="33" spans="1:45" x14ac:dyDescent="0.2">
      <c r="A33" t="s">
        <v>79</v>
      </c>
      <c r="B33">
        <v>2023</v>
      </c>
      <c r="C33">
        <v>2034</v>
      </c>
      <c r="D33">
        <v>2056</v>
      </c>
      <c r="E33">
        <v>2067</v>
      </c>
      <c r="F33" t="s">
        <v>80</v>
      </c>
      <c r="G33" t="s">
        <v>54</v>
      </c>
      <c r="H33" t="s">
        <v>43</v>
      </c>
      <c r="I33" t="s">
        <v>81</v>
      </c>
      <c r="M33" t="s">
        <v>79</v>
      </c>
      <c r="N33">
        <v>2012</v>
      </c>
      <c r="O33">
        <v>2019</v>
      </c>
      <c r="P33">
        <v>2046</v>
      </c>
      <c r="Q33">
        <v>2062</v>
      </c>
      <c r="R33" t="s">
        <v>96</v>
      </c>
      <c r="S33" t="s">
        <v>105</v>
      </c>
      <c r="T33" t="s">
        <v>27</v>
      </c>
      <c r="U33" t="s">
        <v>61</v>
      </c>
      <c r="Y33" t="s">
        <v>79</v>
      </c>
      <c r="Z33">
        <v>2032</v>
      </c>
      <c r="AA33">
        <v>2047</v>
      </c>
      <c r="AB33">
        <v>2062</v>
      </c>
      <c r="AC33">
        <v>2076</v>
      </c>
      <c r="AD33" t="s">
        <v>32</v>
      </c>
      <c r="AE33" t="s">
        <v>97</v>
      </c>
      <c r="AF33" t="s">
        <v>61</v>
      </c>
      <c r="AG33" t="s">
        <v>22</v>
      </c>
      <c r="AK33" t="str">
        <f t="shared" si="1"/>
        <v>SDM_MOHC-HadGEM2-ES_rcp85_r1i1p1_CLMcom-CCLM4-8-17</v>
      </c>
      <c r="AL33">
        <f>IF(B33-N33 &gt; 0, B33-N33, "")</f>
        <v>11</v>
      </c>
      <c r="AM33">
        <f>IF(C33-O33 &gt; 0, C33-O33, "")</f>
        <v>15</v>
      </c>
      <c r="AN33">
        <f>IF(D33-P33 &gt; 0, D33-P33, "")</f>
        <v>10</v>
      </c>
      <c r="AO33">
        <f>IF(E33-Q33 &gt; 0, E33-Q33, "")</f>
        <v>5</v>
      </c>
      <c r="AP33">
        <f t="shared" si="2"/>
        <v>9</v>
      </c>
      <c r="AQ33">
        <f t="shared" si="3"/>
        <v>13</v>
      </c>
      <c r="AR33">
        <f t="shared" si="4"/>
        <v>6</v>
      </c>
      <c r="AS33">
        <f t="shared" si="5"/>
        <v>9</v>
      </c>
    </row>
    <row r="34" spans="1:45" x14ac:dyDescent="0.2">
      <c r="A34" t="s">
        <v>82</v>
      </c>
      <c r="B34">
        <v>2022</v>
      </c>
      <c r="C34">
        <v>2034</v>
      </c>
      <c r="D34">
        <v>2056</v>
      </c>
      <c r="E34">
        <v>2070</v>
      </c>
      <c r="F34" t="s">
        <v>83</v>
      </c>
      <c r="G34" t="s">
        <v>54</v>
      </c>
      <c r="H34" t="s">
        <v>43</v>
      </c>
      <c r="I34" t="s">
        <v>41</v>
      </c>
      <c r="M34" t="s">
        <v>82</v>
      </c>
      <c r="N34">
        <v>2012</v>
      </c>
      <c r="O34">
        <v>2019</v>
      </c>
      <c r="P34">
        <v>2048</v>
      </c>
      <c r="Q34">
        <v>2065</v>
      </c>
      <c r="R34" t="s">
        <v>96</v>
      </c>
      <c r="S34" t="s">
        <v>105</v>
      </c>
      <c r="T34" t="s">
        <v>113</v>
      </c>
      <c r="U34" t="s">
        <v>36</v>
      </c>
      <c r="Y34" t="s">
        <v>82</v>
      </c>
      <c r="Z34">
        <v>2033</v>
      </c>
      <c r="AA34">
        <v>2048</v>
      </c>
      <c r="AB34">
        <v>2065</v>
      </c>
      <c r="AC34">
        <v>2077</v>
      </c>
      <c r="AD34" t="s">
        <v>90</v>
      </c>
      <c r="AE34" t="s">
        <v>113</v>
      </c>
      <c r="AF34" t="s">
        <v>36</v>
      </c>
      <c r="AG34" t="s">
        <v>64</v>
      </c>
      <c r="AK34" t="str">
        <f t="shared" si="1"/>
        <v>SDM_MOHC-HadGEM2-ES_rcp85_r1i1p1_SMHI-RCA4</v>
      </c>
      <c r="AL34">
        <f>IF(B34-N34 &gt; 0, B34-N34, "")</f>
        <v>10</v>
      </c>
      <c r="AM34">
        <f>IF(C34-O34 &gt; 0, C34-O34, "")</f>
        <v>15</v>
      </c>
      <c r="AN34">
        <f>IF(D34-P34 &gt; 0, D34-P34, "")</f>
        <v>8</v>
      </c>
      <c r="AO34">
        <f>IF(E34-Q34 &gt; 0, E34-Q34, "")</f>
        <v>5</v>
      </c>
      <c r="AP34">
        <f t="shared" si="2"/>
        <v>11</v>
      </c>
      <c r="AQ34">
        <f t="shared" si="3"/>
        <v>14</v>
      </c>
      <c r="AR34">
        <f t="shared" si="4"/>
        <v>9</v>
      </c>
      <c r="AS34">
        <f t="shared" si="5"/>
        <v>7</v>
      </c>
    </row>
    <row r="35" spans="1:45" x14ac:dyDescent="0.2">
      <c r="A35" t="s">
        <v>84</v>
      </c>
      <c r="B35">
        <v>2045</v>
      </c>
      <c r="C35">
        <v>2053</v>
      </c>
      <c r="D35">
        <v>2077</v>
      </c>
      <c r="F35" t="s">
        <v>85</v>
      </c>
      <c r="G35" t="s">
        <v>86</v>
      </c>
      <c r="H35" t="s">
        <v>64</v>
      </c>
      <c r="M35" t="s">
        <v>84</v>
      </c>
      <c r="N35">
        <v>2018</v>
      </c>
      <c r="O35">
        <v>2044</v>
      </c>
      <c r="P35">
        <v>2063</v>
      </c>
      <c r="Q35">
        <v>2085</v>
      </c>
      <c r="R35" t="s">
        <v>99</v>
      </c>
      <c r="S35" t="s">
        <v>107</v>
      </c>
      <c r="T35" t="s">
        <v>114</v>
      </c>
      <c r="U35" t="s">
        <v>110</v>
      </c>
      <c r="Y35" t="s">
        <v>84</v>
      </c>
      <c r="Z35">
        <v>2051</v>
      </c>
      <c r="AA35">
        <v>2063</v>
      </c>
      <c r="AB35">
        <v>2085</v>
      </c>
      <c r="AD35" t="s">
        <v>75</v>
      </c>
      <c r="AE35" t="s">
        <v>114</v>
      </c>
      <c r="AF35" t="s">
        <v>110</v>
      </c>
      <c r="AK35" t="str">
        <f t="shared" si="1"/>
        <v>SDM_MPI-M-MPI-ESM-LR_rcp85_r1i1p1_CLMcom-CCLM4-8-17</v>
      </c>
      <c r="AL35">
        <f>IF(B35-N35 &gt; 0, B35-N35, "")</f>
        <v>27</v>
      </c>
      <c r="AM35">
        <f>IF(C35-O35 &gt; 0, C35-O35, "")</f>
        <v>9</v>
      </c>
      <c r="AN35">
        <f>IF(D35-P35 &gt; 0, D35-P35, "")</f>
        <v>14</v>
      </c>
      <c r="AO35" t="str">
        <f>IF(E35-Q35 &gt; 0, E35-Q35, "")</f>
        <v/>
      </c>
      <c r="AP35">
        <f t="shared" si="2"/>
        <v>6</v>
      </c>
      <c r="AQ35">
        <f t="shared" si="3"/>
        <v>10</v>
      </c>
      <c r="AR35">
        <f t="shared" si="4"/>
        <v>8</v>
      </c>
      <c r="AS35" t="str">
        <f t="shared" si="5"/>
        <v/>
      </c>
    </row>
    <row r="36" spans="1:45" x14ac:dyDescent="0.2">
      <c r="A36" t="s">
        <v>87</v>
      </c>
      <c r="B36">
        <v>2038</v>
      </c>
      <c r="C36">
        <v>2050</v>
      </c>
      <c r="D36">
        <v>2068</v>
      </c>
      <c r="E36">
        <v>2081</v>
      </c>
      <c r="F36" t="s">
        <v>38</v>
      </c>
      <c r="G36" t="s">
        <v>9</v>
      </c>
      <c r="H36" t="s">
        <v>88</v>
      </c>
      <c r="I36" t="s">
        <v>89</v>
      </c>
      <c r="M36" t="s">
        <v>87</v>
      </c>
      <c r="N36">
        <v>2020</v>
      </c>
      <c r="O36">
        <v>2036</v>
      </c>
      <c r="P36">
        <v>2060</v>
      </c>
      <c r="Q36">
        <v>2076</v>
      </c>
      <c r="R36" t="s">
        <v>94</v>
      </c>
      <c r="S36" t="s">
        <v>92</v>
      </c>
      <c r="T36" t="s">
        <v>104</v>
      </c>
      <c r="U36" t="s">
        <v>22</v>
      </c>
      <c r="Y36" t="s">
        <v>87</v>
      </c>
      <c r="Z36">
        <v>2048</v>
      </c>
      <c r="AA36">
        <v>2060</v>
      </c>
      <c r="AB36">
        <v>2076</v>
      </c>
      <c r="AC36">
        <v>2091</v>
      </c>
      <c r="AD36" t="s">
        <v>113</v>
      </c>
      <c r="AE36" t="s">
        <v>104</v>
      </c>
      <c r="AF36" t="s">
        <v>22</v>
      </c>
      <c r="AG36" t="s">
        <v>119</v>
      </c>
      <c r="AK36" t="str">
        <f t="shared" si="1"/>
        <v>SDM_MPI-M-MPI-ESM-LR_rcp85_r1i1p1_SMHI-RCA4</v>
      </c>
      <c r="AL36">
        <f>IF(B36-N36 &gt; 0, B36-N36, "")</f>
        <v>18</v>
      </c>
      <c r="AM36">
        <f>IF(C36-O36 &gt; 0, C36-O36, "")</f>
        <v>14</v>
      </c>
      <c r="AN36">
        <f>IF(D36-P36 &gt; 0, D36-P36, "")</f>
        <v>8</v>
      </c>
      <c r="AO36">
        <f>IF(E36-Q36 &gt; 0, E36-Q36, "")</f>
        <v>5</v>
      </c>
      <c r="AP36">
        <f t="shared" si="2"/>
        <v>10</v>
      </c>
      <c r="AQ36">
        <f t="shared" si="3"/>
        <v>10</v>
      </c>
      <c r="AR36">
        <f t="shared" si="4"/>
        <v>8</v>
      </c>
      <c r="AS36">
        <f t="shared" si="5"/>
        <v>10</v>
      </c>
    </row>
  </sheetData>
  <mergeCells count="8">
    <mergeCell ref="AL1:AO1"/>
    <mergeCell ref="AP1:AS1"/>
    <mergeCell ref="B1:E1"/>
    <mergeCell ref="F1:I1"/>
    <mergeCell ref="N1:Q1"/>
    <mergeCell ref="R1:U1"/>
    <mergeCell ref="AD1:AG1"/>
    <mergeCell ref="Z1:AC1"/>
  </mergeCells>
  <conditionalFormatting sqref="AL3:AS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:AS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lookup_table</vt:lpstr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2023-07-14T14:06:27Z</dcterms:created>
  <dcterms:modified xsi:type="dcterms:W3CDTF">2023-07-20T15:11:04Z</dcterms:modified>
</cp:coreProperties>
</file>