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039C059A-B8A0-3B44-AFDF-434C1F7F6977}" xr6:coauthVersionLast="47" xr6:coauthVersionMax="47" xr10:uidLastSave="{00000000-0000-0000-0000-000000000000}"/>
  <bookViews>
    <workbookView xWindow="0" yWindow="500" windowWidth="38400" windowHeight="22120" activeTab="5" xr2:uid="{489E0962-2F52-8142-A44B-9CA53DE3A000}"/>
  </bookViews>
  <sheets>
    <sheet name="lookup_table" sheetId="2" r:id="rId1"/>
    <sheet name="Tabelle1" sheetId="1" r:id="rId2"/>
    <sheet name="uncertainty_gwl15" sheetId="3" r:id="rId3"/>
    <sheet name="uncertainty_gwl20" sheetId="7" r:id="rId4"/>
    <sheet name="uncertainty_gwl30" sheetId="8" r:id="rId5"/>
    <sheet name="uncertainty_gwl40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4" i="1" l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O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F3" i="1"/>
  <c r="CB12" i="1"/>
  <c r="CB15" i="1"/>
  <c r="CB16" i="1"/>
  <c r="CB18" i="1"/>
  <c r="CB19" i="1"/>
  <c r="CB20" i="1"/>
  <c r="CB21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W3" i="1"/>
  <c r="BS4" i="1"/>
  <c r="BS5" i="1"/>
  <c r="BS7" i="1"/>
  <c r="BS8" i="1"/>
  <c r="BS9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K3" i="1"/>
  <c r="BJ3" i="1"/>
  <c r="CN3" i="1"/>
  <c r="CE3" i="1"/>
  <c r="CM3" i="1"/>
  <c r="CD3" i="1"/>
  <c r="CL3" i="1"/>
  <c r="CC3" i="1"/>
  <c r="BV3" i="1"/>
  <c r="BU3" i="1"/>
  <c r="BT3" i="1"/>
</calcChain>
</file>

<file path=xl/sharedStrings.xml><?xml version="1.0" encoding="utf-8"?>
<sst xmlns="http://schemas.openxmlformats.org/spreadsheetml/2006/main" count="905" uniqueCount="162">
  <si>
    <t>OEKS15 ensemble member</t>
  </si>
  <si>
    <t>Period per GWL</t>
  </si>
  <si>
    <t>1.5°C</t>
  </si>
  <si>
    <t>2.0°C</t>
  </si>
  <si>
    <t>3.0°C</t>
  </si>
  <si>
    <t>4.0°C</t>
  </si>
  <si>
    <t>SDM_ICHEC-EC-EARTH_rcp26_r12i1p1_CLMcom-CCLM4-8-17_all</t>
  </si>
  <si>
    <t>SDM_ICHEC-EC-EARTH_rcp26_r12i1p1_KNMI-RACMO22E_all</t>
  </si>
  <si>
    <t>2040-2059</t>
  </si>
  <si>
    <t>SDM_ICHEC-EC-EARTH_rcp26_r12i1p1_SMHI-RCA4_all</t>
  </si>
  <si>
    <t>2029-2048</t>
  </si>
  <si>
    <t>SDM_ICHEC-EC-EARTH_rcp26_r3i1p1_DMI-HIRHAM5_all</t>
  </si>
  <si>
    <t>SDM_MOHC-HadGEM2-ES_rcp26_r1i1p1_SMHI-RCA4_all</t>
  </si>
  <si>
    <t>2011-2030</t>
  </si>
  <si>
    <t>2044-2063</t>
  </si>
  <si>
    <t>SDM_MPI-M-MPI-ESM-LR_rcp26_r1i1p1_MPI-CSC-REMO2009_all</t>
  </si>
  <si>
    <t>SDM_MPI-M-MPI-ESM-LR_rcp26_r1i1p1_SMHI-RCA4_all</t>
  </si>
  <si>
    <t>2016-2035</t>
  </si>
  <si>
    <t>SDM_MPI-M-MPI-ESM-LR_rcp26_r2i1p1_MPI-CSC-REMO2009_all</t>
  </si>
  <si>
    <t>SDM_CNRM-CERFACS-CNRM-CM5_rcp45_r1i1p1_CLMcom-CCLM4-8-17</t>
  </si>
  <si>
    <t>2045-2064</t>
  </si>
  <si>
    <t>2066-2085</t>
  </si>
  <si>
    <t>SDM_CNRM-CERFACS-CNRM-CM5_rcp45_r1i1p1_CNRM-ALADIN53</t>
  </si>
  <si>
    <t>2039-2058</t>
  </si>
  <si>
    <t>2048-2067</t>
  </si>
  <si>
    <t>SDM_CNRM-CERFACS-CNRM-CM5_rcp45_r1i1p1_SMHI-RCA4</t>
  </si>
  <si>
    <t>2036-2055</t>
  </si>
  <si>
    <t>2047-2066</t>
  </si>
  <si>
    <t>SDM_ICHEC-EC-EARTH_rcp45_r12i1p1_CLMcom-CCLM4-8-17</t>
  </si>
  <si>
    <t>2051-2070</t>
  </si>
  <si>
    <t>SDM_ICHEC-EC-EARTH_rcp45_r12i1p1_SMHI-RCA4</t>
  </si>
  <si>
    <t>2022-2041</t>
  </si>
  <si>
    <t>2042-2061</t>
  </si>
  <si>
    <t>SDM_ICHEC-EC-EARTH_rcp45_r1i1p1_KNMI-RACMO22E</t>
  </si>
  <si>
    <t>2021-2040</t>
  </si>
  <si>
    <t>2055-2074</t>
  </si>
  <si>
    <t>SDM_ICHEC-EC-EARTH_rcp45_r3i1p1_DMI-HIRHAM5</t>
  </si>
  <si>
    <t>2028-2047</t>
  </si>
  <si>
    <t>2063-2082</t>
  </si>
  <si>
    <t>SDM_IPSL-IPSL-CM5A-MR_rcp45_r1i1p1_IPSL-INERIS-WRF331F</t>
  </si>
  <si>
    <t>2060-2079</t>
  </si>
  <si>
    <t>SDM_IPSL-IPSL-CM5A-MR_rcp45_r1i1p1_SMHI-RCA4</t>
  </si>
  <si>
    <t>2046-2065</t>
  </si>
  <si>
    <t>SDM_MOHC-HadGEM2-ES_rcp45_r1i1p1_CLMcom-CCLM4-8-17</t>
  </si>
  <si>
    <t>2015-2034</t>
  </si>
  <si>
    <t>2031-2050</t>
  </si>
  <si>
    <t>2059-2078</t>
  </si>
  <si>
    <t>SDM_MOHC-HadGEM2-ES_rcp45_r1i1p1_SMHI-RCA4</t>
  </si>
  <si>
    <t>2017-2036</t>
  </si>
  <si>
    <t>2033-2052</t>
  </si>
  <si>
    <t>SDM_MPI-M-MPI-ESM-LR_rcp45_r1i1p1_CLMcom-CCLM4-8-17</t>
  </si>
  <si>
    <t>2080-2099</t>
  </si>
  <si>
    <t>SDM_MPI-M-MPI-ESM-LR_rcp45_r1i1p1_SMHI-RCA4</t>
  </si>
  <si>
    <t>2024-2043</t>
  </si>
  <si>
    <t>SDM_CNRM-CERFACS-CNRM-CM5_rcp85_r1i1p1_CLMcom-CCLM4-8-17</t>
  </si>
  <si>
    <t>2032-2051</t>
  </si>
  <si>
    <t>SDM_CNRM-CERFACS-CNRM-CM5_rcp85_r1i1p1_CNRM-ALADIN53</t>
  </si>
  <si>
    <t>2056-2075</t>
  </si>
  <si>
    <t>2073-2092</t>
  </si>
  <si>
    <t>SDM_CNRM-CERFACS-CNRM-CM5_rcp85_r1i1p1_SMHI-RCA4</t>
  </si>
  <si>
    <t>2052-2071</t>
  </si>
  <si>
    <t>2070-2089</t>
  </si>
  <si>
    <t>SDM_ICHEC-EC-EARTH_rcp85_r12i1p1_CLMcom-CCLM4-8-17</t>
  </si>
  <si>
    <t>2067-2086</t>
  </si>
  <si>
    <t>SDM_ICHEC-EC-EARTH_rcp85_r12i1p1_SMHI-RCA4</t>
  </si>
  <si>
    <t>2018-2037</t>
  </si>
  <si>
    <t>2030-2049</t>
  </si>
  <si>
    <t>2049-2068</t>
  </si>
  <si>
    <t>SDM_ICHEC-EC-EARTH_rcp85_r1i1p1_KNMI-RACMO22E</t>
  </si>
  <si>
    <t>2020-2039</t>
  </si>
  <si>
    <t>2077-2096</t>
  </si>
  <si>
    <t>SDM_ICHEC-EC-EARTH_rcp85_r3i1p1_DMI-HIRHAM5</t>
  </si>
  <si>
    <t>2019-2038</t>
  </si>
  <si>
    <t>SDM_IPSL-IPSL-CM5A-MR_rcp85_r1i1p1_IPSL-INERIS-WRF331F</t>
  </si>
  <si>
    <t>2041-2060</t>
  </si>
  <si>
    <t>SDM_IPSL-IPSL-CM5A-MR_rcp85_r1i1p1_SMHI-RCA4</t>
  </si>
  <si>
    <t>2025-2044</t>
  </si>
  <si>
    <t>2061-2080</t>
  </si>
  <si>
    <t>SDM_MOHC-HadGEM2-ES_rcp85_r1i1p1_CLMcom-CCLM4-8-17</t>
  </si>
  <si>
    <t>2013-2032</t>
  </si>
  <si>
    <t>2057-2076</t>
  </si>
  <si>
    <t>SDM_MOHC-HadGEM2-ES_rcp85_r1i1p1_SMHI-RCA4</t>
  </si>
  <si>
    <t>2012-2031</t>
  </si>
  <si>
    <t>SDM_MPI-M-MPI-ESM-LR_rcp85_r1i1p1_CLMcom-CCLM4-8-17</t>
  </si>
  <si>
    <t>2035-2054</t>
  </si>
  <si>
    <t>2043-2062</t>
  </si>
  <si>
    <t>SDM_MPI-M-MPI-ESM-LR_rcp85_r1i1p1_SMHI-RCA4</t>
  </si>
  <si>
    <t>2058-2077</t>
  </si>
  <si>
    <t>2071-2090</t>
  </si>
  <si>
    <t>2023-2042</t>
  </si>
  <si>
    <t>2014-2033</t>
  </si>
  <si>
    <t>2026-2045</t>
  </si>
  <si>
    <t>2003-2022</t>
  </si>
  <si>
    <t>2010-2029</t>
  </si>
  <si>
    <t>2007-2026</t>
  </si>
  <si>
    <t>2002-2021</t>
  </si>
  <si>
    <t>2037-2056</t>
  </si>
  <si>
    <t>2004-2023</t>
  </si>
  <si>
    <t>2027-2046</t>
  </si>
  <si>
    <t>2069-2088</t>
  </si>
  <si>
    <t>2005-2024</t>
  </si>
  <si>
    <t>2050-2069</t>
  </si>
  <si>
    <t>2009-2028</t>
  </si>
  <si>
    <t>2074-2093</t>
  </si>
  <si>
    <t>2034-2053</t>
  </si>
  <si>
    <t>2062-2081</t>
  </si>
  <si>
    <t>2006-2025</t>
  </si>
  <si>
    <t>2075-2094</t>
  </si>
  <si>
    <t>2054-2073</t>
  </si>
  <si>
    <t>2079-2098</t>
  </si>
  <si>
    <t>2038-2057</t>
  </si>
  <si>
    <t>2053-2072</t>
  </si>
  <si>
    <t>Mean year per GWL (median)</t>
  </si>
  <si>
    <t>Mean year per GWL (p10)</t>
  </si>
  <si>
    <t>2072-2091</t>
  </si>
  <si>
    <t>2081-2100</t>
  </si>
  <si>
    <t>Mean year per GWL (p90)</t>
  </si>
  <si>
    <t>Mean year per GWL (p25)</t>
  </si>
  <si>
    <t>Mean year per GWL (p75)</t>
  </si>
  <si>
    <t>2064-2083</t>
  </si>
  <si>
    <t>2076-2095</t>
  </si>
  <si>
    <t>2065-2084</t>
  </si>
  <si>
    <t>2078-2097</t>
  </si>
  <si>
    <t>GWL 1.5</t>
  </si>
  <si>
    <t>ICHEC-EC-EARTH_rcp26_r12i1p1_CLMcom-CCLM4-8-17</t>
  </si>
  <si>
    <t>ICHEC-EC-EARTH_rcp26_r12i1p1_KNMI-RACMO22E</t>
  </si>
  <si>
    <t>ICHEC-EC-EARTH_rcp26_r12i1p1_SMHI-RCA4</t>
  </si>
  <si>
    <t>ICHEC-EC-EARTH_rcp26_r3i1p1_DMI-HIRHAM5</t>
  </si>
  <si>
    <t>MOHC-HadGEM2-ES_rcp26_r1i1p1_SMHI-RCA4</t>
  </si>
  <si>
    <t>MPI-M-MPI-ESM-LR_rcp26_r1i1p1_MPI-CSC-REMO2009</t>
  </si>
  <si>
    <t>MPI-M-MPI-ESM-LR_rcp26_r1i1p1_SMHI-RCA4</t>
  </si>
  <si>
    <t>MPI-M-MPI-ESM-LR_rcp26_r2i1p1_MPI-CSC-REMO2009</t>
  </si>
  <si>
    <t>CNRM-CERFACS-CNRM-CM5_rcp45_r1i1p1_CLMcom-CCLM4-8-17</t>
  </si>
  <si>
    <t>CNRM-CERFACS-CNRM-CM5_rcp45_r1i1p1_CNRM-ALADIN53</t>
  </si>
  <si>
    <t>CNRM-CERFACS-CNRM-CM5_rcp45_r1i1p1_SMHI-RCA4</t>
  </si>
  <si>
    <t>ICHEC-EC-EARTH_rcp45_r12i1p1_CLMcom-CCLM4-8-17</t>
  </si>
  <si>
    <t>ICHEC-EC-EARTH_rcp45_r12i1p1_SMHI-RCA4</t>
  </si>
  <si>
    <t>ICHEC-EC-EARTH_rcp45_r1i1p1_KNMI-RACMO22E</t>
  </si>
  <si>
    <t>ICHEC-EC-EARTH_rcp45_r3i1p1_DMI-HIRHAM5</t>
  </si>
  <si>
    <t>IPSL-IPSL-CM5A-MR_rcp45_r1i1p1_IPSL-INERIS-WRF331F</t>
  </si>
  <si>
    <t>IPSL-IPSL-CM5A-MR_rcp45_r1i1p1_SMHI-RCA4</t>
  </si>
  <si>
    <t>MOHC-HadGEM2-ES_rcp45_r1i1p1_CLMcom-CCLM4-8-17</t>
  </si>
  <si>
    <t>MOHC-HadGEM2-ES_rcp45_r1i1p1_SMHI-RCA4</t>
  </si>
  <si>
    <t>MPI-M-MPI-ESM-LR_rcp45_r1i1p1_CLMcom-CCLM4-8-17</t>
  </si>
  <si>
    <t>MPI-M-MPI-ESM-LR_rcp45_r1i1p1_SMHI-RCA4</t>
  </si>
  <si>
    <t>CNRM-CERFACS-CNRM-CM5_rcp85_r1i1p1_CLMcom-CCLM4-8-17</t>
  </si>
  <si>
    <t>CNRM-CERFACS-CNRM-CM5_rcp85_r1i1p1_CNRM-ALADIN53</t>
  </si>
  <si>
    <t>CNRM-CERFACS-CNRM-CM5_rcp85_r1i1p1_SMHI-RCA4</t>
  </si>
  <si>
    <t>ICHEC-EC-EARTH_rcp85_r12i1p1_CLMcom-CCLM4-8-17</t>
  </si>
  <si>
    <t>ICHEC-EC-EARTH_rcp85_r12i1p1_SMHI-RCA4</t>
  </si>
  <si>
    <t>ICHEC-EC-EARTH_rcp85_r1i1p1_KNMI-RACMO22E</t>
  </si>
  <si>
    <t>ICHEC-EC-EARTH_rcp85_r3i1p1_DMI-HIRHAM5</t>
  </si>
  <si>
    <t>IPSL-IPSL-CM5A-MR_rcp85_r1i1p1_IPSL-INERIS-WRF331F</t>
  </si>
  <si>
    <t>IPSL-IPSL-CM5A-MR_rcp85_r1i1p1_SMHI-RCA4</t>
  </si>
  <si>
    <t>MOHC-HadGEM2-ES_rcp85_r1i1p1_CLMcom-CCLM4-8-17</t>
  </si>
  <si>
    <t>MOHC-HadGEM2-ES_rcp85_r1i1p1_SMHI-RCA4</t>
  </si>
  <si>
    <t>MPI-M-MPI-ESM-LR_rcp85_r1i1p1_CLMcom-CCLM4-8-17</t>
  </si>
  <si>
    <t>MPI-M-MPI-ESM-LR_rcp85_r1i1p1_SMHI-RCA4</t>
  </si>
  <si>
    <t>GWL 2.0</t>
  </si>
  <si>
    <t>GWL 3.0</t>
  </si>
  <si>
    <t>GWL 4.0</t>
  </si>
  <si>
    <t>2068-2087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</si>
</sst>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5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AD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Date of all OEKS15 models reaching the GWL 1.5°C </a:t>
            </a:r>
          </a:p>
          <a:p>
            <a:pPr>
              <a:defRPr b="1"/>
            </a:pPr>
            <a:r>
              <a:rPr lang="de-DE" b="1"/>
              <a:t>for different</a:t>
            </a:r>
            <a:r>
              <a:rPr lang="de-DE" b="1" baseline="0"/>
              <a:t> percentiles of warming over Austria in the CMIP6 ensemble</a:t>
            </a:r>
            <a:endParaRPr lang="de-DE" b="1"/>
          </a:p>
        </c:rich>
      </c:tx>
      <c:layout>
        <c:manualLayout>
          <c:xMode val="edge"/>
          <c:yMode val="edge"/>
          <c:x val="0.30837838488417124"/>
          <c:y val="1.4788733214413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46356530601454859"/>
          <c:y val="0.12080282360002349"/>
          <c:w val="0.5048267523036577"/>
          <c:h val="0.73603857913045245"/>
        </c:manualLayout>
      </c:layout>
      <c:barChart>
        <c:barDir val="bar"/>
        <c:grouping val="stacked"/>
        <c:varyColors val="0"/>
        <c:ser>
          <c:idx val="0"/>
          <c:order val="0"/>
          <c:tx>
            <c:v>&lt;= 0.1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Tabelle1!$BJ$3:$BJ$36</c:f>
              <c:numCache>
                <c:formatCode>General</c:formatCode>
                <c:ptCount val="34"/>
                <c:pt idx="0">
                  <c:v>2033</c:v>
                </c:pt>
                <c:pt idx="1">
                  <c:v>2026</c:v>
                </c:pt>
                <c:pt idx="2">
                  <c:v>2023</c:v>
                </c:pt>
                <c:pt idx="3">
                  <c:v>2035</c:v>
                </c:pt>
                <c:pt idx="4">
                  <c:v>2014</c:v>
                </c:pt>
                <c:pt idx="5">
                  <c:v>2022</c:v>
                </c:pt>
                <c:pt idx="6">
                  <c:v>2020</c:v>
                </c:pt>
                <c:pt idx="7">
                  <c:v>2012</c:v>
                </c:pt>
                <c:pt idx="8">
                  <c:v>2036</c:v>
                </c:pt>
                <c:pt idx="9">
                  <c:v>2027</c:v>
                </c:pt>
                <c:pt idx="10">
                  <c:v>2022</c:v>
                </c:pt>
                <c:pt idx="11">
                  <c:v>2022</c:v>
                </c:pt>
                <c:pt idx="12">
                  <c:v>2016</c:v>
                </c:pt>
                <c:pt idx="13">
                  <c:v>2019</c:v>
                </c:pt>
                <c:pt idx="14">
                  <c:v>2026</c:v>
                </c:pt>
                <c:pt idx="15">
                  <c:v>2030</c:v>
                </c:pt>
                <c:pt idx="16">
                  <c:v>2025</c:v>
                </c:pt>
                <c:pt idx="17">
                  <c:v>2016</c:v>
                </c:pt>
                <c:pt idx="18">
                  <c:v>2015</c:v>
                </c:pt>
                <c:pt idx="19">
                  <c:v>2029</c:v>
                </c:pt>
                <c:pt idx="20">
                  <c:v>2025</c:v>
                </c:pt>
                <c:pt idx="21">
                  <c:v>2029</c:v>
                </c:pt>
                <c:pt idx="22">
                  <c:v>2019</c:v>
                </c:pt>
                <c:pt idx="23">
                  <c:v>2020</c:v>
                </c:pt>
                <c:pt idx="24">
                  <c:v>2026</c:v>
                </c:pt>
                <c:pt idx="25">
                  <c:v>2015</c:v>
                </c:pt>
                <c:pt idx="26">
                  <c:v>2017</c:v>
                </c:pt>
                <c:pt idx="27">
                  <c:v>2017</c:v>
                </c:pt>
                <c:pt idx="28">
                  <c:v>2013</c:v>
                </c:pt>
                <c:pt idx="29">
                  <c:v>2014</c:v>
                </c:pt>
                <c:pt idx="30">
                  <c:v>2013</c:v>
                </c:pt>
                <c:pt idx="31">
                  <c:v>2012</c:v>
                </c:pt>
                <c:pt idx="32">
                  <c:v>2024</c:v>
                </c:pt>
                <c:pt idx="33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3-7B4F-92FD-BA865739620F}"/>
            </c:ext>
          </c:extLst>
        </c:ser>
        <c:ser>
          <c:idx val="1"/>
          <c:order val="1"/>
          <c:tx>
            <c:v>r1</c:v>
          </c:tx>
          <c:spPr>
            <a:solidFill>
              <a:schemeClr val="accent1">
                <a:lumMod val="20000"/>
                <a:lumOff val="80000"/>
              </a:schemeClr>
            </a:solidFill>
            <a:ln cap="flat"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Tabelle1!$BK$3:$BK$36</c:f>
              <c:numCache>
                <c:formatCode>General</c:formatCode>
                <c:ptCount val="3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8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9</c:v>
                </c:pt>
                <c:pt idx="3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3-7B4F-92FD-BA865739620F}"/>
            </c:ext>
          </c:extLst>
        </c:ser>
        <c:ser>
          <c:idx val="2"/>
          <c:order val="2"/>
          <c:tx>
            <c:v>r2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Tabelle1!$BL$3:$BL$36</c:f>
              <c:numCache>
                <c:formatCode>General</c:formatCode>
                <c:ptCount val="34"/>
                <c:pt idx="0">
                  <c:v>0</c:v>
                </c:pt>
                <c:pt idx="1">
                  <c:v>17</c:v>
                </c:pt>
                <c:pt idx="2">
                  <c:v>12</c:v>
                </c:pt>
                <c:pt idx="3">
                  <c:v>0</c:v>
                </c:pt>
                <c:pt idx="4">
                  <c:v>6</c:v>
                </c:pt>
                <c:pt idx="5">
                  <c:v>15</c:v>
                </c:pt>
                <c:pt idx="6">
                  <c:v>3</c:v>
                </c:pt>
                <c:pt idx="7">
                  <c:v>0</c:v>
                </c:pt>
                <c:pt idx="8">
                  <c:v>11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11</c:v>
                </c:pt>
                <c:pt idx="22">
                  <c:v>16</c:v>
                </c:pt>
                <c:pt idx="23">
                  <c:v>8</c:v>
                </c:pt>
                <c:pt idx="24">
                  <c:v>11</c:v>
                </c:pt>
                <c:pt idx="25">
                  <c:v>5</c:v>
                </c:pt>
                <c:pt idx="26">
                  <c:v>10</c:v>
                </c:pt>
                <c:pt idx="27">
                  <c:v>10</c:v>
                </c:pt>
                <c:pt idx="28">
                  <c:v>37</c:v>
                </c:pt>
                <c:pt idx="29">
                  <c:v>19</c:v>
                </c:pt>
                <c:pt idx="30">
                  <c:v>4</c:v>
                </c:pt>
                <c:pt idx="31">
                  <c:v>4</c:v>
                </c:pt>
                <c:pt idx="32">
                  <c:v>11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03-7B4F-92FD-BA865739620F}"/>
            </c:ext>
          </c:extLst>
        </c:ser>
        <c:ser>
          <c:idx val="3"/>
          <c:order val="3"/>
          <c:tx>
            <c:v>p25 - p75</c:v>
          </c:tx>
          <c:spPr>
            <a:solidFill>
              <a:schemeClr val="accent1">
                <a:lumMod val="60000"/>
                <a:lumOff val="40000"/>
              </a:schemeClr>
            </a:solidFill>
            <a:ln w="12700" cap="sq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Tabelle1!$BM$3:$BM$36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33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9</c:v>
                </c:pt>
                <c:pt idx="13">
                  <c:v>9</c:v>
                </c:pt>
                <c:pt idx="14">
                  <c:v>2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28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6</c:v>
                </c:pt>
                <c:pt idx="31">
                  <c:v>6</c:v>
                </c:pt>
                <c:pt idx="32">
                  <c:v>4</c:v>
                </c:pt>
                <c:pt idx="3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03-7B4F-92FD-BA865739620F}"/>
            </c:ext>
          </c:extLst>
        </c:ser>
        <c:ser>
          <c:idx val="4"/>
          <c:order val="4"/>
          <c:tx>
            <c:v>p10 - p25 and p75 - p90</c:v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Tabelle1!$BN$3:$BN$36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8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  <c:pt idx="12">
                  <c:v>10</c:v>
                </c:pt>
                <c:pt idx="13">
                  <c:v>25</c:v>
                </c:pt>
                <c:pt idx="14">
                  <c:v>31</c:v>
                </c:pt>
                <c:pt idx="15">
                  <c:v>24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17</c:v>
                </c:pt>
                <c:pt idx="20">
                  <c:v>22</c:v>
                </c:pt>
                <c:pt idx="21">
                  <c:v>9</c:v>
                </c:pt>
                <c:pt idx="22">
                  <c:v>5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22</c:v>
                </c:pt>
                <c:pt idx="27">
                  <c:v>12</c:v>
                </c:pt>
                <c:pt idx="28">
                  <c:v>4</c:v>
                </c:pt>
                <c:pt idx="29">
                  <c:v>5</c:v>
                </c:pt>
                <c:pt idx="30">
                  <c:v>7</c:v>
                </c:pt>
                <c:pt idx="31">
                  <c:v>8</c:v>
                </c:pt>
                <c:pt idx="32">
                  <c:v>3</c:v>
                </c:pt>
                <c:pt idx="3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03-7B4F-92FD-BA8657396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736639904"/>
        <c:axId val="1730305568"/>
      </c:barChart>
      <c:catAx>
        <c:axId val="1736639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0305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30305568"/>
        <c:scaling>
          <c:orientation val="minMax"/>
          <c:max val="21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ADAD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6639904"/>
        <c:crosses val="max"/>
        <c:crossBetween val="between"/>
        <c:majorUnit val="10"/>
        <c:minorUnit val="5"/>
      </c:valAx>
      <c:spPr>
        <a:noFill/>
        <a:ln>
          <a:solidFill>
            <a:srgbClr val="DADADA"/>
          </a:solidFill>
        </a:ln>
        <a:effectLst/>
      </c:spPr>
    </c:plotArea>
    <c:legend>
      <c:legendPos val="b"/>
      <c:layout>
        <c:manualLayout>
          <c:xMode val="edge"/>
          <c:yMode val="edge"/>
          <c:x val="0.30639836289222372"/>
          <c:y val="0.9419862786139076"/>
          <c:w val="0.41858106583880295"/>
          <c:h val="4.324578889664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Date of all OEKS15 models reaching the GWL 2.0°C </a:t>
            </a:r>
          </a:p>
          <a:p>
            <a:pPr>
              <a:defRPr b="1"/>
            </a:pPr>
            <a:r>
              <a:rPr lang="de-DE" b="1"/>
              <a:t>for different</a:t>
            </a:r>
            <a:r>
              <a:rPr lang="de-DE" b="1" baseline="0"/>
              <a:t> percentiles of warming over Austria in the CMIP6 ensemble</a:t>
            </a:r>
            <a:endParaRPr lang="de-DE" b="1"/>
          </a:p>
        </c:rich>
      </c:tx>
      <c:layout>
        <c:manualLayout>
          <c:xMode val="edge"/>
          <c:yMode val="edge"/>
          <c:x val="0.30837838488417124"/>
          <c:y val="1.4788733214413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46356530601454859"/>
          <c:y val="0.12080282360002349"/>
          <c:w val="0.5048267523036577"/>
          <c:h val="0.73603857913045245"/>
        </c:manualLayout>
      </c:layout>
      <c:barChart>
        <c:barDir val="bar"/>
        <c:grouping val="stacked"/>
        <c:varyColors val="0"/>
        <c:ser>
          <c:idx val="0"/>
          <c:order val="0"/>
          <c:tx>
            <c:v>&lt;= 0.1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Tabelle1!$BS$3:$BS$36</c:f>
              <c:numCache>
                <c:formatCode>General</c:formatCode>
                <c:ptCount val="34"/>
                <c:pt idx="1">
                  <c:v>2050</c:v>
                </c:pt>
                <c:pt idx="2">
                  <c:v>2039</c:v>
                </c:pt>
                <c:pt idx="4">
                  <c:v>2021</c:v>
                </c:pt>
                <c:pt idx="5">
                  <c:v>2039</c:v>
                </c:pt>
                <c:pt idx="6">
                  <c:v>2026</c:v>
                </c:pt>
                <c:pt idx="8">
                  <c:v>2055</c:v>
                </c:pt>
                <c:pt idx="9">
                  <c:v>2049</c:v>
                </c:pt>
                <c:pt idx="10">
                  <c:v>2046</c:v>
                </c:pt>
                <c:pt idx="11">
                  <c:v>2050</c:v>
                </c:pt>
                <c:pt idx="12">
                  <c:v>2033</c:v>
                </c:pt>
                <c:pt idx="13">
                  <c:v>2031</c:v>
                </c:pt>
                <c:pt idx="14">
                  <c:v>2038</c:v>
                </c:pt>
                <c:pt idx="15">
                  <c:v>2038</c:v>
                </c:pt>
                <c:pt idx="16">
                  <c:v>2038</c:v>
                </c:pt>
                <c:pt idx="17">
                  <c:v>2025</c:v>
                </c:pt>
                <c:pt idx="18">
                  <c:v>2027</c:v>
                </c:pt>
                <c:pt idx="19">
                  <c:v>2039</c:v>
                </c:pt>
                <c:pt idx="20">
                  <c:v>2034</c:v>
                </c:pt>
                <c:pt idx="21">
                  <c:v>2042</c:v>
                </c:pt>
                <c:pt idx="22">
                  <c:v>2038</c:v>
                </c:pt>
                <c:pt idx="23">
                  <c:v>2032</c:v>
                </c:pt>
                <c:pt idx="24">
                  <c:v>2041</c:v>
                </c:pt>
                <c:pt idx="25">
                  <c:v>2028</c:v>
                </c:pt>
                <c:pt idx="26">
                  <c:v>2030</c:v>
                </c:pt>
                <c:pt idx="27">
                  <c:v>2030</c:v>
                </c:pt>
                <c:pt idx="28">
                  <c:v>2051</c:v>
                </c:pt>
                <c:pt idx="29">
                  <c:v>2035</c:v>
                </c:pt>
                <c:pt idx="30">
                  <c:v>2023</c:v>
                </c:pt>
                <c:pt idx="31">
                  <c:v>2023</c:v>
                </c:pt>
                <c:pt idx="32">
                  <c:v>2046</c:v>
                </c:pt>
                <c:pt idx="33">
                  <c:v>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3-B948-8813-3BA30077BAE0}"/>
            </c:ext>
          </c:extLst>
        </c:ser>
        <c:ser>
          <c:idx val="1"/>
          <c:order val="1"/>
          <c:tx>
            <c:v>r1</c:v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Tabelle1!$BT$3:$BT$36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8</c:v>
                </c:pt>
                <c:pt idx="11">
                  <c:v>4</c:v>
                </c:pt>
                <c:pt idx="12">
                  <c:v>9</c:v>
                </c:pt>
                <c:pt idx="13">
                  <c:v>32</c:v>
                </c:pt>
                <c:pt idx="14">
                  <c:v>4</c:v>
                </c:pt>
                <c:pt idx="15">
                  <c:v>9</c:v>
                </c:pt>
                <c:pt idx="16">
                  <c:v>3</c:v>
                </c:pt>
                <c:pt idx="17">
                  <c:v>7</c:v>
                </c:pt>
                <c:pt idx="18">
                  <c:v>7</c:v>
                </c:pt>
                <c:pt idx="19">
                  <c:v>41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2</c:v>
                </c:pt>
                <c:pt idx="25">
                  <c:v>4</c:v>
                </c:pt>
                <c:pt idx="26">
                  <c:v>14</c:v>
                </c:pt>
                <c:pt idx="27">
                  <c:v>11</c:v>
                </c:pt>
                <c:pt idx="28">
                  <c:v>2</c:v>
                </c:pt>
                <c:pt idx="29">
                  <c:v>5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3-B948-8813-3BA30077BAE0}"/>
            </c:ext>
          </c:extLst>
        </c:ser>
        <c:ser>
          <c:idx val="2"/>
          <c:order val="2"/>
          <c:tx>
            <c:v>r2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Tabelle1!$BU$3:$BU$36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10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  <c:pt idx="12">
                  <c:v>10</c:v>
                </c:pt>
                <c:pt idx="13">
                  <c:v>2</c:v>
                </c:pt>
                <c:pt idx="14">
                  <c:v>30</c:v>
                </c:pt>
                <c:pt idx="15">
                  <c:v>23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32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  <c:pt idx="24">
                  <c:v>10</c:v>
                </c:pt>
                <c:pt idx="25">
                  <c:v>8</c:v>
                </c:pt>
                <c:pt idx="26">
                  <c:v>14</c:v>
                </c:pt>
                <c:pt idx="27">
                  <c:v>11</c:v>
                </c:pt>
                <c:pt idx="28">
                  <c:v>5</c:v>
                </c:pt>
                <c:pt idx="29">
                  <c:v>2</c:v>
                </c:pt>
                <c:pt idx="30">
                  <c:v>8</c:v>
                </c:pt>
                <c:pt idx="31">
                  <c:v>8</c:v>
                </c:pt>
                <c:pt idx="32">
                  <c:v>3</c:v>
                </c:pt>
                <c:pt idx="3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3-B948-8813-3BA30077BAE0}"/>
            </c:ext>
          </c:extLst>
        </c:ser>
        <c:ser>
          <c:idx val="3"/>
          <c:order val="3"/>
          <c:tx>
            <c:v>p25 - p75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Tabelle1!$BV$3:$BV$36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</c:v>
                </c:pt>
                <c:pt idx="10">
                  <c:v>31</c:v>
                </c:pt>
                <c:pt idx="11">
                  <c:v>0</c:v>
                </c:pt>
                <c:pt idx="12">
                  <c:v>8</c:v>
                </c:pt>
                <c:pt idx="13">
                  <c:v>7</c:v>
                </c:pt>
                <c:pt idx="14">
                  <c:v>0</c:v>
                </c:pt>
                <c:pt idx="15">
                  <c:v>5</c:v>
                </c:pt>
                <c:pt idx="16">
                  <c:v>22</c:v>
                </c:pt>
                <c:pt idx="17">
                  <c:v>6</c:v>
                </c:pt>
                <c:pt idx="18">
                  <c:v>10</c:v>
                </c:pt>
                <c:pt idx="19">
                  <c:v>0</c:v>
                </c:pt>
                <c:pt idx="20">
                  <c:v>14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2</c:v>
                </c:pt>
                <c:pt idx="26">
                  <c:v>6</c:v>
                </c:pt>
                <c:pt idx="27">
                  <c:v>8</c:v>
                </c:pt>
                <c:pt idx="28">
                  <c:v>5</c:v>
                </c:pt>
                <c:pt idx="29">
                  <c:v>6</c:v>
                </c:pt>
                <c:pt idx="30">
                  <c:v>11</c:v>
                </c:pt>
                <c:pt idx="31">
                  <c:v>10</c:v>
                </c:pt>
                <c:pt idx="32">
                  <c:v>10</c:v>
                </c:pt>
                <c:pt idx="3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3-B948-8813-3BA30077BAE0}"/>
            </c:ext>
          </c:extLst>
        </c:ser>
        <c:ser>
          <c:idx val="4"/>
          <c:order val="4"/>
          <c:tx>
            <c:v>p10 - p25 and p75 - p90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Tabelle1!$BW$3:$BW$36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15</c:v>
                </c:pt>
                <c:pt idx="13">
                  <c:v>3</c:v>
                </c:pt>
                <c:pt idx="14">
                  <c:v>0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13-B948-8813-3BA30077B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736639904"/>
        <c:axId val="1730305568"/>
      </c:barChart>
      <c:catAx>
        <c:axId val="1736639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0305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30305568"/>
        <c:scaling>
          <c:orientation val="minMax"/>
          <c:max val="21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ADAD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6639904"/>
        <c:crosses val="max"/>
        <c:crossBetween val="between"/>
        <c:majorUnit val="10"/>
        <c:minorUnit val="5"/>
      </c:valAx>
      <c:spPr>
        <a:noFill/>
        <a:ln>
          <a:solidFill>
            <a:srgbClr val="DADADA"/>
          </a:solidFill>
        </a:ln>
        <a:effectLst/>
      </c:spPr>
    </c:plotArea>
    <c:legend>
      <c:legendPos val="b"/>
      <c:layout>
        <c:manualLayout>
          <c:xMode val="edge"/>
          <c:yMode val="edge"/>
          <c:x val="0.30639836289222372"/>
          <c:y val="0.9419862786139076"/>
          <c:w val="0.41858106583880295"/>
          <c:h val="4.324578889664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Date of all OEKS15 models reaching the GWL 3.0°C </a:t>
            </a:r>
          </a:p>
          <a:p>
            <a:pPr>
              <a:defRPr b="1"/>
            </a:pPr>
            <a:r>
              <a:rPr lang="de-DE" b="1"/>
              <a:t>for different</a:t>
            </a:r>
            <a:r>
              <a:rPr lang="de-DE" b="1" baseline="0"/>
              <a:t> percentiles of warming over Austria in the CMIP6 ensemble</a:t>
            </a:r>
            <a:endParaRPr lang="de-DE" b="1"/>
          </a:p>
        </c:rich>
      </c:tx>
      <c:layout>
        <c:manualLayout>
          <c:xMode val="edge"/>
          <c:yMode val="edge"/>
          <c:x val="0.30837838488417124"/>
          <c:y val="1.4788733214413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46356530601454859"/>
          <c:y val="0.12080282360002349"/>
          <c:w val="0.5048267523036577"/>
          <c:h val="0.73603857913045245"/>
        </c:manualLayout>
      </c:layout>
      <c:barChart>
        <c:barDir val="bar"/>
        <c:grouping val="stacked"/>
        <c:varyColors val="0"/>
        <c:ser>
          <c:idx val="0"/>
          <c:order val="0"/>
          <c:tx>
            <c:v>&lt;= 0.1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Tabelle1!$CB$3:$CB$36</c:f>
              <c:numCache>
                <c:formatCode>General</c:formatCode>
                <c:ptCount val="34"/>
                <c:pt idx="9">
                  <c:v>2091</c:v>
                </c:pt>
                <c:pt idx="12">
                  <c:v>2075</c:v>
                </c:pt>
                <c:pt idx="13">
                  <c:v>2076</c:v>
                </c:pt>
                <c:pt idx="15">
                  <c:v>2079</c:v>
                </c:pt>
                <c:pt idx="16">
                  <c:v>2070</c:v>
                </c:pt>
                <c:pt idx="17">
                  <c:v>2048</c:v>
                </c:pt>
                <c:pt idx="18">
                  <c:v>2058</c:v>
                </c:pt>
                <c:pt idx="21">
                  <c:v>2066</c:v>
                </c:pt>
                <c:pt idx="22">
                  <c:v>2056</c:v>
                </c:pt>
                <c:pt idx="23">
                  <c:v>2054</c:v>
                </c:pt>
                <c:pt idx="24">
                  <c:v>2067</c:v>
                </c:pt>
                <c:pt idx="25">
                  <c:v>2044</c:v>
                </c:pt>
                <c:pt idx="26">
                  <c:v>2066</c:v>
                </c:pt>
                <c:pt idx="27">
                  <c:v>2067</c:v>
                </c:pt>
                <c:pt idx="28">
                  <c:v>2064</c:v>
                </c:pt>
                <c:pt idx="29">
                  <c:v>2049</c:v>
                </c:pt>
                <c:pt idx="30">
                  <c:v>2044</c:v>
                </c:pt>
                <c:pt idx="31">
                  <c:v>2047</c:v>
                </c:pt>
                <c:pt idx="32">
                  <c:v>2063</c:v>
                </c:pt>
                <c:pt idx="33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0-8949-8702-FED99699BB28}"/>
            </c:ext>
          </c:extLst>
        </c:ser>
        <c:ser>
          <c:idx val="1"/>
          <c:order val="1"/>
          <c:tx>
            <c:v>r1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Tabelle1!$CC$3:$CC$36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7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6</c:v>
                </c:pt>
                <c:pt idx="25">
                  <c:v>7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6</c:v>
                </c:pt>
                <c:pt idx="31">
                  <c:v>4</c:v>
                </c:pt>
                <c:pt idx="32">
                  <c:v>11</c:v>
                </c:pt>
                <c:pt idx="3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0-8949-8702-FED99699BB28}"/>
            </c:ext>
          </c:extLst>
        </c:ser>
        <c:ser>
          <c:idx val="2"/>
          <c:order val="2"/>
          <c:tx>
            <c:v>r2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Tabelle1!$CD$3:$CD$36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7</c:v>
                </c:pt>
                <c:pt idx="23">
                  <c:v>5</c:v>
                </c:pt>
                <c:pt idx="24">
                  <c:v>3</c:v>
                </c:pt>
                <c:pt idx="25">
                  <c:v>8</c:v>
                </c:pt>
                <c:pt idx="26">
                  <c:v>4</c:v>
                </c:pt>
                <c:pt idx="27">
                  <c:v>7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2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0-8949-8702-FED99699BB28}"/>
            </c:ext>
          </c:extLst>
        </c:ser>
        <c:ser>
          <c:idx val="3"/>
          <c:order val="3"/>
          <c:tx>
            <c:v>p25 - p75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Tabelle1!$CE$3:$CE$36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8</c:v>
                </c:pt>
                <c:pt idx="26">
                  <c:v>3</c:v>
                </c:pt>
                <c:pt idx="27">
                  <c:v>4</c:v>
                </c:pt>
                <c:pt idx="28">
                  <c:v>7</c:v>
                </c:pt>
                <c:pt idx="29">
                  <c:v>2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40-8949-8702-FED99699BB28}"/>
            </c:ext>
          </c:extLst>
        </c:ser>
        <c:ser>
          <c:idx val="4"/>
          <c:order val="4"/>
          <c:tx>
            <c:v>p10 - p25 and p75 - p90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Tabelle1!$CF$3:$CF$36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8</c:v>
                </c:pt>
                <c:pt idx="23">
                  <c:v>4</c:v>
                </c:pt>
                <c:pt idx="24">
                  <c:v>3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10</c:v>
                </c:pt>
                <c:pt idx="29">
                  <c:v>5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40-8949-8702-FED99699B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736639904"/>
        <c:axId val="1730305568"/>
      </c:barChart>
      <c:catAx>
        <c:axId val="1736639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0305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30305568"/>
        <c:scaling>
          <c:orientation val="minMax"/>
          <c:max val="21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ADAD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6639904"/>
        <c:crosses val="max"/>
        <c:crossBetween val="between"/>
        <c:majorUnit val="10"/>
        <c:minorUnit val="5"/>
      </c:valAx>
      <c:spPr>
        <a:noFill/>
        <a:ln>
          <a:solidFill>
            <a:srgbClr val="DADADA"/>
          </a:solidFill>
        </a:ln>
        <a:effectLst/>
      </c:spPr>
    </c:plotArea>
    <c:legend>
      <c:legendPos val="b"/>
      <c:layout>
        <c:manualLayout>
          <c:xMode val="edge"/>
          <c:yMode val="edge"/>
          <c:x val="0.30639836289222372"/>
          <c:y val="0.9419862786139076"/>
          <c:w val="0.41858106583880295"/>
          <c:h val="4.324578889664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Date of all OEKS15 models reaching the GWL 4.0°C </a:t>
            </a:r>
          </a:p>
          <a:p>
            <a:pPr>
              <a:defRPr b="1"/>
            </a:pPr>
            <a:r>
              <a:rPr lang="de-DE" b="1"/>
              <a:t>for different</a:t>
            </a:r>
            <a:r>
              <a:rPr lang="de-DE" b="1" baseline="0"/>
              <a:t> percentiles of warming over Austria in the CMIP6 ensemble</a:t>
            </a:r>
            <a:endParaRPr lang="de-DE" b="1"/>
          </a:p>
        </c:rich>
      </c:tx>
      <c:layout>
        <c:manualLayout>
          <c:xMode val="edge"/>
          <c:yMode val="edge"/>
          <c:x val="0.30837838488417124"/>
          <c:y val="1.4788733214413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46356530601454859"/>
          <c:y val="0.12080282360002349"/>
          <c:w val="0.5048267523036577"/>
          <c:h val="0.73603857913045245"/>
        </c:manualLayout>
      </c:layout>
      <c:barChart>
        <c:barDir val="bar"/>
        <c:grouping val="stacked"/>
        <c:varyColors val="0"/>
        <c:ser>
          <c:idx val="0"/>
          <c:order val="0"/>
          <c:tx>
            <c:v>&lt;= 0.1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Tabelle1!$CK$3:$CK$36</c:f>
              <c:numCache>
                <c:formatCode>General</c:formatCode>
                <c:ptCount val="34"/>
                <c:pt idx="21">
                  <c:v>2090</c:v>
                </c:pt>
                <c:pt idx="22">
                  <c:v>2078</c:v>
                </c:pt>
                <c:pt idx="23">
                  <c:v>2072</c:v>
                </c:pt>
                <c:pt idx="24">
                  <c:v>2085</c:v>
                </c:pt>
                <c:pt idx="25">
                  <c:v>2073</c:v>
                </c:pt>
                <c:pt idx="26">
                  <c:v>2082</c:v>
                </c:pt>
                <c:pt idx="27">
                  <c:v>2086</c:v>
                </c:pt>
                <c:pt idx="28">
                  <c:v>2091</c:v>
                </c:pt>
                <c:pt idx="29">
                  <c:v>2065</c:v>
                </c:pt>
                <c:pt idx="30">
                  <c:v>2062</c:v>
                </c:pt>
                <c:pt idx="31">
                  <c:v>2065</c:v>
                </c:pt>
                <c:pt idx="32">
                  <c:v>2087</c:v>
                </c:pt>
                <c:pt idx="33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6-E34B-8B72-5B1AE998C7E3}"/>
            </c:ext>
          </c:extLst>
        </c:ser>
        <c:ser>
          <c:idx val="1"/>
          <c:order val="1"/>
          <c:tx>
            <c:v>r1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Tabelle1!$CL$3:$CL$36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6-E34B-8B72-5B1AE998C7E3}"/>
            </c:ext>
          </c:extLst>
        </c:ser>
        <c:ser>
          <c:idx val="2"/>
          <c:order val="2"/>
          <c:tx>
            <c:v>r2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Tabelle1!$CM$3:$CM$36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6-E34B-8B72-5B1AE998C7E3}"/>
            </c:ext>
          </c:extLst>
        </c:ser>
        <c:ser>
          <c:idx val="3"/>
          <c:order val="3"/>
          <c:tx>
            <c:v>p25 - p75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Tabelle1!$CN$3:$CN$36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</c:v>
                </c:pt>
                <c:pt idx="23">
                  <c:v>7</c:v>
                </c:pt>
                <c:pt idx="24">
                  <c:v>0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7</c:v>
                </c:pt>
                <c:pt idx="32">
                  <c:v>0</c:v>
                </c:pt>
                <c:pt idx="3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86-E34B-8B72-5B1AE998C7E3}"/>
            </c:ext>
          </c:extLst>
        </c:ser>
        <c:ser>
          <c:idx val="4"/>
          <c:order val="4"/>
          <c:tx>
            <c:v>p10 - p25 and p75 - p90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Tabelle1!$BI$3:$BI$36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Tabelle1!$CO$3:$CO$36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86-E34B-8B72-5B1AE998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736639904"/>
        <c:axId val="1730305568"/>
      </c:barChart>
      <c:catAx>
        <c:axId val="1736639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0305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30305568"/>
        <c:scaling>
          <c:orientation val="minMax"/>
          <c:max val="21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ADAD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6639904"/>
        <c:crosses val="max"/>
        <c:crossBetween val="between"/>
        <c:majorUnit val="10"/>
        <c:minorUnit val="5"/>
      </c:valAx>
      <c:spPr>
        <a:noFill/>
        <a:ln>
          <a:solidFill>
            <a:srgbClr val="DADADA"/>
          </a:solidFill>
        </a:ln>
        <a:effectLst/>
      </c:spPr>
    </c:plotArea>
    <c:legend>
      <c:legendPos val="b"/>
      <c:layout>
        <c:manualLayout>
          <c:xMode val="edge"/>
          <c:yMode val="edge"/>
          <c:x val="0.30639836289222372"/>
          <c:y val="0.9419862786139076"/>
          <c:w val="0.41858106583880295"/>
          <c:h val="4.324578889664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681A4E-A564-4B4D-9AC2-EA65BE481D26}">
  <sheetPr/>
  <sheetViews>
    <sheetView zoomScale="153"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B11EE1-33C1-6B46-A67A-47169CB132CF}">
  <sheetPr/>
  <sheetViews>
    <sheetView zoomScale="153" workbookViewId="0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4F0417-B672-DF4D-8567-59F6A23531C4}">
  <sheetPr/>
  <sheetViews>
    <sheetView zoomScale="153" workbookViewId="0"/>
  </sheetViews>
  <pageMargins left="0.7" right="0.7" top="0.78740157499999996" bottom="0.78740157499999996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53BAE8-C0DB-C641-8A30-ED7F4EEB8FA4}">
  <sheetPr/>
  <sheetViews>
    <sheetView tabSelected="1" zoomScale="153" workbookViewId="0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1797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679192-87BA-4621-4928-85C003C434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1797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7AA2519-8544-FEF1-4A94-33A60BFD13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1797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C1E8A92-E67C-7F8C-12F0-443490673D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1797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37D8F9-42FC-BD94-9449-563CE6A02A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0922-5B47-9642-9615-38A0C1364AC8}">
  <dimension ref="A1:E35"/>
  <sheetViews>
    <sheetView workbookViewId="0">
      <selection activeCell="G49" sqref="G49"/>
    </sheetView>
  </sheetViews>
  <sheetFormatPr baseColWidth="10" defaultRowHeight="16" x14ac:dyDescent="0.2"/>
  <cols>
    <col min="1" max="1" width="61" bestFit="1" customWidth="1"/>
    <col min="2" max="5" width="9.83203125" bestFit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t="s">
        <v>6</v>
      </c>
    </row>
    <row r="3" spans="1:5" x14ac:dyDescent="0.2">
      <c r="A3" t="s">
        <v>7</v>
      </c>
      <c r="B3" t="s">
        <v>8</v>
      </c>
    </row>
    <row r="4" spans="1:5" x14ac:dyDescent="0.2">
      <c r="A4" t="s">
        <v>9</v>
      </c>
      <c r="B4" t="s">
        <v>98</v>
      </c>
    </row>
    <row r="5" spans="1:5" x14ac:dyDescent="0.2">
      <c r="A5" t="s">
        <v>11</v>
      </c>
    </row>
    <row r="6" spans="1:5" x14ac:dyDescent="0.2">
      <c r="A6" t="s">
        <v>12</v>
      </c>
      <c r="B6" t="s">
        <v>13</v>
      </c>
      <c r="C6" t="s">
        <v>14</v>
      </c>
    </row>
    <row r="7" spans="1:5" x14ac:dyDescent="0.2">
      <c r="A7" t="s">
        <v>15</v>
      </c>
      <c r="B7" t="s">
        <v>10</v>
      </c>
    </row>
    <row r="8" spans="1:5" x14ac:dyDescent="0.2">
      <c r="A8" t="s">
        <v>16</v>
      </c>
      <c r="B8" t="s">
        <v>17</v>
      </c>
      <c r="C8" t="s">
        <v>45</v>
      </c>
    </row>
    <row r="9" spans="1:5" x14ac:dyDescent="0.2">
      <c r="A9" t="s">
        <v>18</v>
      </c>
    </row>
    <row r="10" spans="1:5" x14ac:dyDescent="0.2">
      <c r="A10" t="s">
        <v>19</v>
      </c>
      <c r="B10" t="s">
        <v>20</v>
      </c>
      <c r="C10" t="s">
        <v>80</v>
      </c>
    </row>
    <row r="11" spans="1:5" x14ac:dyDescent="0.2">
      <c r="A11" t="s">
        <v>22</v>
      </c>
      <c r="B11" t="s">
        <v>23</v>
      </c>
      <c r="C11" t="s">
        <v>27</v>
      </c>
    </row>
    <row r="12" spans="1:5" x14ac:dyDescent="0.2">
      <c r="A12" t="s">
        <v>25</v>
      </c>
      <c r="B12" t="s">
        <v>26</v>
      </c>
      <c r="C12" t="s">
        <v>27</v>
      </c>
    </row>
    <row r="13" spans="1:5" x14ac:dyDescent="0.2">
      <c r="A13" t="s">
        <v>28</v>
      </c>
      <c r="B13" t="s">
        <v>23</v>
      </c>
      <c r="C13" t="s">
        <v>101</v>
      </c>
    </row>
    <row r="14" spans="1:5" x14ac:dyDescent="0.2">
      <c r="A14" t="s">
        <v>30</v>
      </c>
      <c r="B14" t="s">
        <v>31</v>
      </c>
      <c r="C14" t="s">
        <v>32</v>
      </c>
    </row>
    <row r="15" spans="1:5" x14ac:dyDescent="0.2">
      <c r="A15" t="s">
        <v>33</v>
      </c>
      <c r="B15" t="s">
        <v>34</v>
      </c>
      <c r="C15" t="s">
        <v>35</v>
      </c>
    </row>
    <row r="16" spans="1:5" x14ac:dyDescent="0.2">
      <c r="A16" t="s">
        <v>36</v>
      </c>
      <c r="B16" t="s">
        <v>37</v>
      </c>
      <c r="C16" t="s">
        <v>105</v>
      </c>
    </row>
    <row r="17" spans="1:5" x14ac:dyDescent="0.2">
      <c r="A17" t="s">
        <v>39</v>
      </c>
      <c r="B17" t="s">
        <v>37</v>
      </c>
      <c r="C17" t="s">
        <v>40</v>
      </c>
    </row>
    <row r="18" spans="1:5" x14ac:dyDescent="0.2">
      <c r="A18" t="s">
        <v>41</v>
      </c>
      <c r="B18" t="s">
        <v>98</v>
      </c>
      <c r="C18" t="s">
        <v>96</v>
      </c>
    </row>
    <row r="19" spans="1:5" x14ac:dyDescent="0.2">
      <c r="A19" t="s">
        <v>43</v>
      </c>
      <c r="B19" t="s">
        <v>44</v>
      </c>
      <c r="C19" t="s">
        <v>66</v>
      </c>
      <c r="D19" t="s">
        <v>108</v>
      </c>
    </row>
    <row r="20" spans="1:5" x14ac:dyDescent="0.2">
      <c r="A20" t="s">
        <v>47</v>
      </c>
      <c r="B20" t="s">
        <v>48</v>
      </c>
      <c r="C20" t="s">
        <v>49</v>
      </c>
      <c r="D20" t="s">
        <v>40</v>
      </c>
    </row>
    <row r="21" spans="1:5" x14ac:dyDescent="0.2">
      <c r="A21" t="s">
        <v>50</v>
      </c>
      <c r="B21" t="s">
        <v>10</v>
      </c>
      <c r="C21" t="s">
        <v>122</v>
      </c>
    </row>
    <row r="22" spans="1:5" x14ac:dyDescent="0.2">
      <c r="A22" t="s">
        <v>52</v>
      </c>
      <c r="B22" t="s">
        <v>89</v>
      </c>
      <c r="C22" t="s">
        <v>40</v>
      </c>
    </row>
    <row r="23" spans="1:5" x14ac:dyDescent="0.2">
      <c r="A23" t="s">
        <v>54</v>
      </c>
      <c r="B23" t="s">
        <v>55</v>
      </c>
      <c r="C23" t="s">
        <v>20</v>
      </c>
      <c r="D23" t="s">
        <v>119</v>
      </c>
    </row>
    <row r="24" spans="1:5" x14ac:dyDescent="0.2">
      <c r="A24" t="s">
        <v>56</v>
      </c>
      <c r="B24" t="s">
        <v>98</v>
      </c>
      <c r="C24" t="s">
        <v>96</v>
      </c>
      <c r="D24" t="s">
        <v>57</v>
      </c>
      <c r="E24" t="s">
        <v>114</v>
      </c>
    </row>
    <row r="25" spans="1:5" x14ac:dyDescent="0.2">
      <c r="A25" t="s">
        <v>59</v>
      </c>
      <c r="B25" t="s">
        <v>31</v>
      </c>
      <c r="C25" t="s">
        <v>84</v>
      </c>
      <c r="D25" t="s">
        <v>29</v>
      </c>
      <c r="E25" t="s">
        <v>63</v>
      </c>
    </row>
    <row r="26" spans="1:5" x14ac:dyDescent="0.2">
      <c r="A26" t="s">
        <v>62</v>
      </c>
      <c r="B26" t="s">
        <v>45</v>
      </c>
      <c r="C26" t="s">
        <v>85</v>
      </c>
      <c r="D26" t="s">
        <v>21</v>
      </c>
      <c r="E26" t="s">
        <v>109</v>
      </c>
    </row>
    <row r="27" spans="1:5" x14ac:dyDescent="0.2">
      <c r="A27" t="s">
        <v>64</v>
      </c>
      <c r="B27" t="s">
        <v>65</v>
      </c>
      <c r="C27" t="s">
        <v>66</v>
      </c>
      <c r="D27" t="s">
        <v>67</v>
      </c>
      <c r="E27" t="s">
        <v>21</v>
      </c>
    </row>
    <row r="28" spans="1:5" x14ac:dyDescent="0.2">
      <c r="A28" t="s">
        <v>68</v>
      </c>
      <c r="B28" t="s">
        <v>69</v>
      </c>
      <c r="C28" t="s">
        <v>24</v>
      </c>
      <c r="D28" t="s">
        <v>38</v>
      </c>
      <c r="E28" t="s">
        <v>58</v>
      </c>
    </row>
    <row r="29" spans="1:5" x14ac:dyDescent="0.2">
      <c r="A29" t="s">
        <v>71</v>
      </c>
      <c r="B29" t="s">
        <v>72</v>
      </c>
      <c r="C29" t="s">
        <v>32</v>
      </c>
      <c r="D29" t="s">
        <v>63</v>
      </c>
    </row>
    <row r="30" spans="1:5" x14ac:dyDescent="0.2">
      <c r="A30" t="s">
        <v>73</v>
      </c>
      <c r="B30" t="s">
        <v>74</v>
      </c>
      <c r="C30" t="s">
        <v>24</v>
      </c>
      <c r="D30" t="s">
        <v>105</v>
      </c>
    </row>
    <row r="31" spans="1:5" x14ac:dyDescent="0.2">
      <c r="A31" t="s">
        <v>75</v>
      </c>
      <c r="B31" t="s">
        <v>76</v>
      </c>
      <c r="C31" t="s">
        <v>55</v>
      </c>
      <c r="D31" t="s">
        <v>27</v>
      </c>
      <c r="E31" t="s">
        <v>87</v>
      </c>
    </row>
    <row r="32" spans="1:5" x14ac:dyDescent="0.2">
      <c r="A32" t="s">
        <v>78</v>
      </c>
      <c r="B32" t="s">
        <v>102</v>
      </c>
      <c r="C32" t="s">
        <v>89</v>
      </c>
      <c r="D32" t="s">
        <v>20</v>
      </c>
      <c r="E32" t="s">
        <v>57</v>
      </c>
    </row>
    <row r="33" spans="1:5" x14ac:dyDescent="0.2">
      <c r="A33" t="s">
        <v>81</v>
      </c>
      <c r="B33" t="s">
        <v>102</v>
      </c>
      <c r="C33" t="s">
        <v>53</v>
      </c>
      <c r="D33" t="s">
        <v>42</v>
      </c>
      <c r="E33" t="s">
        <v>80</v>
      </c>
    </row>
    <row r="34" spans="1:5" x14ac:dyDescent="0.2">
      <c r="A34" t="s">
        <v>83</v>
      </c>
      <c r="B34" t="s">
        <v>104</v>
      </c>
      <c r="C34" t="s">
        <v>74</v>
      </c>
      <c r="D34" t="s">
        <v>21</v>
      </c>
      <c r="E34" t="s">
        <v>115</v>
      </c>
    </row>
    <row r="35" spans="1:5" x14ac:dyDescent="0.2">
      <c r="A35" t="s">
        <v>86</v>
      </c>
      <c r="B35" t="s">
        <v>37</v>
      </c>
      <c r="C35" t="s">
        <v>23</v>
      </c>
      <c r="D35" t="s">
        <v>80</v>
      </c>
      <c r="E35" t="s">
        <v>161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599D-34AE-794F-94E5-BAFC365E1CD1}">
  <dimension ref="A1:CO36"/>
  <sheetViews>
    <sheetView topLeftCell="BV1" workbookViewId="0">
      <selection activeCell="CU46" sqref="CU46"/>
    </sheetView>
  </sheetViews>
  <sheetFormatPr baseColWidth="10" defaultRowHeight="16" x14ac:dyDescent="0.2"/>
  <cols>
    <col min="1" max="1" width="61" bestFit="1" customWidth="1"/>
    <col min="13" max="13" width="61" bestFit="1" customWidth="1"/>
    <col min="25" max="25" width="61" bestFit="1" customWidth="1"/>
    <col min="37" max="37" width="61" bestFit="1" customWidth="1"/>
    <col min="49" max="49" width="61" bestFit="1" customWidth="1"/>
    <col min="61" max="61" width="61" bestFit="1" customWidth="1"/>
    <col min="70" max="70" width="56" bestFit="1" customWidth="1"/>
    <col min="79" max="79" width="56" bestFit="1" customWidth="1"/>
    <col min="88" max="88" width="56" bestFit="1" customWidth="1"/>
  </cols>
  <sheetData>
    <row r="1" spans="1:93" x14ac:dyDescent="0.2">
      <c r="A1" s="1" t="s">
        <v>0</v>
      </c>
      <c r="B1" s="8" t="s">
        <v>112</v>
      </c>
      <c r="C1" s="8"/>
      <c r="D1" s="8"/>
      <c r="E1" s="8"/>
      <c r="F1" s="8" t="s">
        <v>1</v>
      </c>
      <c r="G1" s="8"/>
      <c r="H1" s="8"/>
      <c r="I1" s="8"/>
      <c r="J1" s="3"/>
      <c r="K1" s="3"/>
      <c r="M1" s="1" t="s">
        <v>0</v>
      </c>
      <c r="N1" s="5" t="s">
        <v>113</v>
      </c>
      <c r="O1" s="6"/>
      <c r="P1" s="6"/>
      <c r="Q1" s="7"/>
      <c r="R1" s="8" t="s">
        <v>1</v>
      </c>
      <c r="S1" s="8"/>
      <c r="T1" s="8"/>
      <c r="U1" s="8"/>
      <c r="V1" s="3"/>
      <c r="Y1" s="1" t="s">
        <v>0</v>
      </c>
      <c r="Z1" s="5" t="s">
        <v>117</v>
      </c>
      <c r="AA1" s="6"/>
      <c r="AB1" s="6"/>
      <c r="AC1" s="7"/>
      <c r="AD1" s="8" t="s">
        <v>1</v>
      </c>
      <c r="AE1" s="8"/>
      <c r="AF1" s="8"/>
      <c r="AG1" s="8"/>
      <c r="AK1" s="1" t="s">
        <v>0</v>
      </c>
      <c r="AL1" s="8" t="s">
        <v>118</v>
      </c>
      <c r="AM1" s="8"/>
      <c r="AN1" s="8"/>
      <c r="AO1" s="8"/>
      <c r="AP1" s="8" t="s">
        <v>1</v>
      </c>
      <c r="AQ1" s="8"/>
      <c r="AR1" s="8"/>
      <c r="AS1" s="8"/>
      <c r="AT1" s="3"/>
      <c r="AU1" s="3"/>
      <c r="AW1" s="1" t="s">
        <v>0</v>
      </c>
      <c r="AX1" s="8" t="s">
        <v>116</v>
      </c>
      <c r="AY1" s="8"/>
      <c r="AZ1" s="8"/>
      <c r="BA1" s="8"/>
      <c r="BB1" s="8" t="s">
        <v>1</v>
      </c>
      <c r="BC1" s="8"/>
      <c r="BD1" s="8"/>
      <c r="BE1" s="8"/>
      <c r="BI1" s="2"/>
      <c r="BJ1" s="5" t="s">
        <v>123</v>
      </c>
      <c r="BK1" s="6"/>
      <c r="BL1" s="6"/>
      <c r="BM1" s="6"/>
      <c r="BN1" s="7"/>
      <c r="BR1" s="2"/>
      <c r="BS1" s="5" t="s">
        <v>158</v>
      </c>
      <c r="BT1" s="6"/>
      <c r="BU1" s="6"/>
      <c r="BV1" s="6"/>
      <c r="BW1" s="7"/>
      <c r="CA1" s="2"/>
      <c r="CB1" s="5" t="s">
        <v>159</v>
      </c>
      <c r="CC1" s="6"/>
      <c r="CD1" s="6"/>
      <c r="CE1" s="6"/>
      <c r="CF1" s="7"/>
      <c r="CJ1" s="2"/>
      <c r="CK1" s="5" t="s">
        <v>160</v>
      </c>
      <c r="CL1" s="6"/>
      <c r="CM1" s="6"/>
      <c r="CN1" s="6"/>
      <c r="CO1" s="7"/>
    </row>
    <row r="2" spans="1:93" x14ac:dyDescent="0.2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  <c r="M2" s="1"/>
      <c r="N2" s="1" t="s">
        <v>2</v>
      </c>
      <c r="O2" s="1" t="s">
        <v>3</v>
      </c>
      <c r="P2" s="1" t="s">
        <v>4</v>
      </c>
      <c r="Q2" s="1" t="s">
        <v>5</v>
      </c>
      <c r="R2" s="1" t="s">
        <v>2</v>
      </c>
      <c r="S2" s="1" t="s">
        <v>3</v>
      </c>
      <c r="T2" s="1" t="s">
        <v>4</v>
      </c>
      <c r="U2" s="1" t="s">
        <v>5</v>
      </c>
      <c r="Y2" s="1"/>
      <c r="Z2" s="1" t="s">
        <v>2</v>
      </c>
      <c r="AA2" s="1" t="s">
        <v>3</v>
      </c>
      <c r="AB2" s="1" t="s">
        <v>4</v>
      </c>
      <c r="AC2" s="1" t="s">
        <v>5</v>
      </c>
      <c r="AD2" s="1" t="s">
        <v>2</v>
      </c>
      <c r="AE2" s="1" t="s">
        <v>3</v>
      </c>
      <c r="AF2" s="1" t="s">
        <v>4</v>
      </c>
      <c r="AG2" s="1" t="s">
        <v>5</v>
      </c>
      <c r="AK2" s="1"/>
      <c r="AL2" s="1" t="s">
        <v>2</v>
      </c>
      <c r="AM2" s="1" t="s">
        <v>3</v>
      </c>
      <c r="AN2" s="1" t="s">
        <v>4</v>
      </c>
      <c r="AO2" s="1" t="s">
        <v>5</v>
      </c>
      <c r="AP2" s="1" t="s">
        <v>2</v>
      </c>
      <c r="AQ2" s="1" t="s">
        <v>3</v>
      </c>
      <c r="AR2" s="1" t="s">
        <v>4</v>
      </c>
      <c r="AS2" s="1" t="s">
        <v>5</v>
      </c>
      <c r="AW2" s="1"/>
      <c r="AX2" s="1" t="s">
        <v>2</v>
      </c>
      <c r="AY2" s="1" t="s">
        <v>3</v>
      </c>
      <c r="AZ2" s="1" t="s">
        <v>4</v>
      </c>
      <c r="BA2" s="1" t="s">
        <v>5</v>
      </c>
      <c r="BB2" s="1" t="s">
        <v>2</v>
      </c>
      <c r="BC2" s="1" t="s">
        <v>3</v>
      </c>
      <c r="BD2" s="1" t="s">
        <v>4</v>
      </c>
      <c r="BE2" s="1" t="s">
        <v>5</v>
      </c>
      <c r="BI2" s="1" t="s">
        <v>0</v>
      </c>
      <c r="BJ2" s="4">
        <v>0.1</v>
      </c>
      <c r="BK2" s="4">
        <v>0.25</v>
      </c>
      <c r="BL2" s="4">
        <v>0.5</v>
      </c>
      <c r="BM2" s="4">
        <v>0.75</v>
      </c>
      <c r="BN2" s="4">
        <v>0.9</v>
      </c>
      <c r="BR2" s="1" t="s">
        <v>0</v>
      </c>
      <c r="BS2" s="4">
        <v>0.1</v>
      </c>
      <c r="BT2" s="4">
        <v>0.25</v>
      </c>
      <c r="BU2" s="4">
        <v>0.5</v>
      </c>
      <c r="BV2" s="4">
        <v>0.75</v>
      </c>
      <c r="BW2" s="4">
        <v>0.9</v>
      </c>
      <c r="CA2" s="1" t="s">
        <v>0</v>
      </c>
      <c r="CB2" s="4">
        <v>0.1</v>
      </c>
      <c r="CC2" s="4">
        <v>0.25</v>
      </c>
      <c r="CD2" s="4">
        <v>0.5</v>
      </c>
      <c r="CE2" s="4">
        <v>0.75</v>
      </c>
      <c r="CF2" s="4">
        <v>0.9</v>
      </c>
      <c r="CJ2" s="1" t="s">
        <v>0</v>
      </c>
      <c r="CK2" s="4">
        <v>0.1</v>
      </c>
      <c r="CL2" s="4">
        <v>0.25</v>
      </c>
      <c r="CM2" s="4">
        <v>0.5</v>
      </c>
      <c r="CN2" s="4">
        <v>0.75</v>
      </c>
      <c r="CO2" s="4">
        <v>0.9</v>
      </c>
    </row>
    <row r="3" spans="1:93" x14ac:dyDescent="0.2">
      <c r="A3" t="s">
        <v>6</v>
      </c>
      <c r="M3" t="s">
        <v>6</v>
      </c>
      <c r="N3">
        <v>2033</v>
      </c>
      <c r="R3" t="s">
        <v>89</v>
      </c>
      <c r="Y3" t="s">
        <v>6</v>
      </c>
      <c r="Z3">
        <v>2036</v>
      </c>
      <c r="AD3" t="s">
        <v>91</v>
      </c>
      <c r="AK3" t="s">
        <v>6</v>
      </c>
      <c r="AW3" t="s">
        <v>6</v>
      </c>
      <c r="BI3" t="s">
        <v>124</v>
      </c>
      <c r="BJ3">
        <f>N3</f>
        <v>2033</v>
      </c>
      <c r="BK3">
        <f>IF(Z3-N3 &gt; 0, Z3-N3, "")</f>
        <v>3</v>
      </c>
      <c r="BL3" t="str">
        <f>IF(B3-Z3 &gt; 0, B3-Z3, "")</f>
        <v/>
      </c>
      <c r="BM3" t="str">
        <f>IF(AL3-B3 &gt; 0, AL3-B3, "")</f>
        <v/>
      </c>
      <c r="BN3" t="str">
        <f>IF(AX3-AL3 &gt; 0,AX3-AL3, "")</f>
        <v/>
      </c>
      <c r="BR3" t="s">
        <v>124</v>
      </c>
      <c r="BT3" t="str">
        <f>IF(AA3-O3 &gt; 0, AA3-O3, "")</f>
        <v/>
      </c>
      <c r="BU3" t="str">
        <f>IF(C3-AA3 &gt; 0, C3-AA3, "")</f>
        <v/>
      </c>
      <c r="BV3" t="str">
        <f>IF(AM3-C3 &gt; 0, AM3-C3, "")</f>
        <v/>
      </c>
      <c r="BW3" t="str">
        <f>IF(AY3-AM3 &gt; 0,AY3-AM3, "")</f>
        <v/>
      </c>
      <c r="CA3" t="s">
        <v>124</v>
      </c>
      <c r="CC3" t="str">
        <f t="shared" ref="CC3:CC36" si="0">IF(AB3-P3 &gt; 0, AB3-P3, "")</f>
        <v/>
      </c>
      <c r="CD3" t="str">
        <f t="shared" ref="CD3:CD36" si="1">IF(D3-AB3 &gt; 0, D3-AB3, "")</f>
        <v/>
      </c>
      <c r="CE3" t="str">
        <f t="shared" ref="CE3:CE36" si="2">IF(AN3-D3 &gt; 0, AN3-D3, "")</f>
        <v/>
      </c>
      <c r="CF3" t="str">
        <f>IF(AZ3-AN3 &gt; 0,AZ3-AN3, "")</f>
        <v/>
      </c>
      <c r="CJ3" t="s">
        <v>124</v>
      </c>
      <c r="CL3" t="str">
        <f>IF(AC3-Q3 &gt; 0, AC3-Q3, "")</f>
        <v/>
      </c>
      <c r="CM3" t="str">
        <f>IF(E3-AC3 &gt; 0, E3-AC3, "")</f>
        <v/>
      </c>
      <c r="CN3" t="str">
        <f>IF(AO3-E3 &gt; 0, AO3-E3, "")</f>
        <v/>
      </c>
      <c r="CO3" t="str">
        <f>IF(BA3-AO3 &gt; 0,BA3-AO3, "")</f>
        <v/>
      </c>
    </row>
    <row r="4" spans="1:93" x14ac:dyDescent="0.2">
      <c r="A4" t="s">
        <v>7</v>
      </c>
      <c r="B4">
        <v>2050</v>
      </c>
      <c r="F4" t="s">
        <v>8</v>
      </c>
      <c r="M4" t="s">
        <v>7</v>
      </c>
      <c r="N4">
        <v>2026</v>
      </c>
      <c r="O4">
        <v>2050</v>
      </c>
      <c r="R4" t="s">
        <v>17</v>
      </c>
      <c r="S4" t="s">
        <v>8</v>
      </c>
      <c r="Y4" t="s">
        <v>7</v>
      </c>
      <c r="Z4">
        <v>2033</v>
      </c>
      <c r="AD4" t="s">
        <v>89</v>
      </c>
      <c r="AK4" t="s">
        <v>7</v>
      </c>
      <c r="AW4" t="s">
        <v>7</v>
      </c>
      <c r="BI4" t="s">
        <v>125</v>
      </c>
      <c r="BJ4">
        <f t="shared" ref="BJ4:BJ36" si="3">N4</f>
        <v>2026</v>
      </c>
      <c r="BK4">
        <f t="shared" ref="BK4:BK36" si="4">IF(Z4-N4 &gt; 0, Z4-N4, "")</f>
        <v>7</v>
      </c>
      <c r="BL4">
        <f t="shared" ref="BL4:BL36" si="5">IF(B4-Z4 &gt; 0, B4-Z4, "")</f>
        <v>17</v>
      </c>
      <c r="BM4" t="str">
        <f t="shared" ref="BM4:BM36" si="6">IF(AL4-B4 &gt; 0, AL4-B4, "")</f>
        <v/>
      </c>
      <c r="BN4" t="str">
        <f t="shared" ref="BN4:BN36" si="7">IF(AX4-AL4 &gt; 0,AX4-AL4, "")</f>
        <v/>
      </c>
      <c r="BR4" t="s">
        <v>125</v>
      </c>
      <c r="BS4">
        <f t="shared" ref="BS4:BS36" si="8">O4</f>
        <v>2050</v>
      </c>
      <c r="BT4" t="str">
        <f t="shared" ref="BT4:BT36" si="9">IF(AA4-O4 &gt; 0, AA4-O4, "")</f>
        <v/>
      </c>
      <c r="BU4" t="str">
        <f t="shared" ref="BU4:BU36" si="10">IF(C4-AA4 &gt; 0, C4-AA4, "")</f>
        <v/>
      </c>
      <c r="BV4" t="str">
        <f t="shared" ref="BV4:BV36" si="11">IF(AM4-C4 &gt; 0, AM4-C4, "")</f>
        <v/>
      </c>
      <c r="BW4" t="str">
        <f t="shared" ref="BW4:BW36" si="12">IF(AY4-AM4 &gt; 0,AY4-AM4, "")</f>
        <v/>
      </c>
      <c r="CA4" t="s">
        <v>125</v>
      </c>
      <c r="CC4" t="str">
        <f t="shared" si="0"/>
        <v/>
      </c>
      <c r="CD4" t="str">
        <f t="shared" si="1"/>
        <v/>
      </c>
      <c r="CE4" t="str">
        <f t="shared" si="2"/>
        <v/>
      </c>
      <c r="CF4" t="str">
        <f t="shared" ref="CF4:CF36" si="13">IF(AZ4-AN4 &gt; 0,AZ4-AN4, "")</f>
        <v/>
      </c>
      <c r="CJ4" t="s">
        <v>125</v>
      </c>
      <c r="CL4" t="str">
        <f t="shared" ref="CL4:CL36" si="14">IF(AC4-Q4 &gt; 0, AC4-Q4, "")</f>
        <v/>
      </c>
      <c r="CM4" t="str">
        <f t="shared" ref="CM4:CM36" si="15">IF(E4-AC4 &gt; 0, E4-AC4, "")</f>
        <v/>
      </c>
      <c r="CN4" t="str">
        <f t="shared" ref="CN4:CN36" si="16">IF(AO4-E4 &gt; 0, AO4-E4, "")</f>
        <v/>
      </c>
      <c r="CO4" t="str">
        <f t="shared" ref="CO4:CO36" si="17">IF(BA4-AO4 &gt; 0,BA4-AO4, "")</f>
        <v/>
      </c>
    </row>
    <row r="5" spans="1:93" x14ac:dyDescent="0.2">
      <c r="A5" t="s">
        <v>9</v>
      </c>
      <c r="B5">
        <v>2037</v>
      </c>
      <c r="F5" t="s">
        <v>98</v>
      </c>
      <c r="M5" t="s">
        <v>9</v>
      </c>
      <c r="N5">
        <v>2023</v>
      </c>
      <c r="O5">
        <v>2039</v>
      </c>
      <c r="R5" t="s">
        <v>79</v>
      </c>
      <c r="S5" t="s">
        <v>10</v>
      </c>
      <c r="Y5" t="s">
        <v>9</v>
      </c>
      <c r="Z5">
        <v>2025</v>
      </c>
      <c r="AA5">
        <v>2047</v>
      </c>
      <c r="AD5" t="s">
        <v>44</v>
      </c>
      <c r="AE5" t="s">
        <v>96</v>
      </c>
      <c r="AK5" t="s">
        <v>9</v>
      </c>
      <c r="AL5">
        <v>2043</v>
      </c>
      <c r="AP5" t="s">
        <v>49</v>
      </c>
      <c r="AW5" t="s">
        <v>9</v>
      </c>
      <c r="BI5" t="s">
        <v>126</v>
      </c>
      <c r="BJ5">
        <f t="shared" si="3"/>
        <v>2023</v>
      </c>
      <c r="BK5">
        <f t="shared" si="4"/>
        <v>2</v>
      </c>
      <c r="BL5">
        <f t="shared" si="5"/>
        <v>12</v>
      </c>
      <c r="BM5">
        <f t="shared" si="6"/>
        <v>6</v>
      </c>
      <c r="BN5" t="str">
        <f t="shared" si="7"/>
        <v/>
      </c>
      <c r="BR5" t="s">
        <v>126</v>
      </c>
      <c r="BS5">
        <f t="shared" si="8"/>
        <v>2039</v>
      </c>
      <c r="BT5">
        <f t="shared" si="9"/>
        <v>8</v>
      </c>
      <c r="BU5" t="str">
        <f t="shared" si="10"/>
        <v/>
      </c>
      <c r="BV5" t="str">
        <f t="shared" si="11"/>
        <v/>
      </c>
      <c r="BW5" t="str">
        <f t="shared" si="12"/>
        <v/>
      </c>
      <c r="CA5" t="s">
        <v>126</v>
      </c>
      <c r="CC5" t="str">
        <f t="shared" si="0"/>
        <v/>
      </c>
      <c r="CD5" t="str">
        <f t="shared" si="1"/>
        <v/>
      </c>
      <c r="CE5" t="str">
        <f t="shared" si="2"/>
        <v/>
      </c>
      <c r="CF5" t="str">
        <f t="shared" si="13"/>
        <v/>
      </c>
      <c r="CJ5" t="s">
        <v>126</v>
      </c>
      <c r="CL5" t="str">
        <f t="shared" si="14"/>
        <v/>
      </c>
      <c r="CM5" t="str">
        <f t="shared" si="15"/>
        <v/>
      </c>
      <c r="CN5" t="str">
        <f t="shared" si="16"/>
        <v/>
      </c>
      <c r="CO5" t="str">
        <f t="shared" si="17"/>
        <v/>
      </c>
    </row>
    <row r="6" spans="1:93" x14ac:dyDescent="0.2">
      <c r="A6" t="s">
        <v>11</v>
      </c>
      <c r="M6" t="s">
        <v>11</v>
      </c>
      <c r="N6">
        <v>2035</v>
      </c>
      <c r="R6" t="s">
        <v>76</v>
      </c>
      <c r="Y6" t="s">
        <v>11</v>
      </c>
      <c r="Z6">
        <v>2040</v>
      </c>
      <c r="AD6" t="s">
        <v>66</v>
      </c>
      <c r="AK6" t="s">
        <v>11</v>
      </c>
      <c r="AW6" t="s">
        <v>11</v>
      </c>
      <c r="BI6" t="s">
        <v>127</v>
      </c>
      <c r="BJ6">
        <f t="shared" si="3"/>
        <v>2035</v>
      </c>
      <c r="BK6">
        <f t="shared" si="4"/>
        <v>5</v>
      </c>
      <c r="BL6" t="str">
        <f t="shared" si="5"/>
        <v/>
      </c>
      <c r="BM6" t="str">
        <f t="shared" si="6"/>
        <v/>
      </c>
      <c r="BN6" t="str">
        <f t="shared" si="7"/>
        <v/>
      </c>
      <c r="BR6" t="s">
        <v>127</v>
      </c>
      <c r="BT6" t="str">
        <f t="shared" si="9"/>
        <v/>
      </c>
      <c r="BU6" t="str">
        <f t="shared" si="10"/>
        <v/>
      </c>
      <c r="BV6" t="str">
        <f t="shared" si="11"/>
        <v/>
      </c>
      <c r="BW6" t="str">
        <f t="shared" si="12"/>
        <v/>
      </c>
      <c r="CA6" t="s">
        <v>127</v>
      </c>
      <c r="CC6" t="str">
        <f t="shared" si="0"/>
        <v/>
      </c>
      <c r="CD6" t="str">
        <f t="shared" si="1"/>
        <v/>
      </c>
      <c r="CE6" t="str">
        <f t="shared" si="2"/>
        <v/>
      </c>
      <c r="CF6" t="str">
        <f t="shared" si="13"/>
        <v/>
      </c>
      <c r="CJ6" t="s">
        <v>127</v>
      </c>
      <c r="CL6" t="str">
        <f t="shared" si="14"/>
        <v/>
      </c>
      <c r="CM6" t="str">
        <f t="shared" si="15"/>
        <v/>
      </c>
      <c r="CN6" t="str">
        <f t="shared" si="16"/>
        <v/>
      </c>
      <c r="CO6" t="str">
        <f t="shared" si="17"/>
        <v/>
      </c>
    </row>
    <row r="7" spans="1:93" x14ac:dyDescent="0.2">
      <c r="A7" t="s">
        <v>12</v>
      </c>
      <c r="B7">
        <v>2021</v>
      </c>
      <c r="C7">
        <v>2054</v>
      </c>
      <c r="F7" t="s">
        <v>13</v>
      </c>
      <c r="G7" t="s">
        <v>14</v>
      </c>
      <c r="M7" t="s">
        <v>12</v>
      </c>
      <c r="N7">
        <v>2014</v>
      </c>
      <c r="O7">
        <v>2021</v>
      </c>
      <c r="R7" t="s">
        <v>97</v>
      </c>
      <c r="S7" t="s">
        <v>13</v>
      </c>
      <c r="Y7" t="s">
        <v>12</v>
      </c>
      <c r="Z7">
        <v>2015</v>
      </c>
      <c r="AA7">
        <v>2026</v>
      </c>
      <c r="AD7" t="s">
        <v>100</v>
      </c>
      <c r="AE7" t="s">
        <v>17</v>
      </c>
      <c r="AK7" t="s">
        <v>12</v>
      </c>
      <c r="AL7">
        <v>2023</v>
      </c>
      <c r="AP7" t="s">
        <v>79</v>
      </c>
      <c r="AW7" t="s">
        <v>12</v>
      </c>
      <c r="AX7">
        <v>2053</v>
      </c>
      <c r="BB7" t="s">
        <v>85</v>
      </c>
      <c r="BI7" t="s">
        <v>128</v>
      </c>
      <c r="BJ7">
        <f t="shared" si="3"/>
        <v>2014</v>
      </c>
      <c r="BK7">
        <f t="shared" si="4"/>
        <v>1</v>
      </c>
      <c r="BL7">
        <f t="shared" si="5"/>
        <v>6</v>
      </c>
      <c r="BM7">
        <f t="shared" si="6"/>
        <v>2</v>
      </c>
      <c r="BN7">
        <f t="shared" si="7"/>
        <v>30</v>
      </c>
      <c r="BR7" t="s">
        <v>128</v>
      </c>
      <c r="BS7">
        <f t="shared" si="8"/>
        <v>2021</v>
      </c>
      <c r="BT7">
        <f t="shared" si="9"/>
        <v>5</v>
      </c>
      <c r="BU7">
        <f t="shared" si="10"/>
        <v>28</v>
      </c>
      <c r="BV7" t="str">
        <f t="shared" si="11"/>
        <v/>
      </c>
      <c r="BW7" t="str">
        <f t="shared" si="12"/>
        <v/>
      </c>
      <c r="CA7" t="s">
        <v>128</v>
      </c>
      <c r="CC7" t="str">
        <f t="shared" si="0"/>
        <v/>
      </c>
      <c r="CD7" t="str">
        <f t="shared" si="1"/>
        <v/>
      </c>
      <c r="CE7" t="str">
        <f t="shared" si="2"/>
        <v/>
      </c>
      <c r="CF7" t="str">
        <f t="shared" si="13"/>
        <v/>
      </c>
      <c r="CJ7" t="s">
        <v>128</v>
      </c>
      <c r="CL7" t="str">
        <f t="shared" si="14"/>
        <v/>
      </c>
      <c r="CM7" t="str">
        <f t="shared" si="15"/>
        <v/>
      </c>
      <c r="CN7" t="str">
        <f t="shared" si="16"/>
        <v/>
      </c>
      <c r="CO7" t="str">
        <f t="shared" si="17"/>
        <v/>
      </c>
    </row>
    <row r="8" spans="1:93" x14ac:dyDescent="0.2">
      <c r="A8" t="s">
        <v>15</v>
      </c>
      <c r="B8">
        <v>2039</v>
      </c>
      <c r="F8" t="s">
        <v>10</v>
      </c>
      <c r="M8" t="s">
        <v>15</v>
      </c>
      <c r="N8">
        <v>2022</v>
      </c>
      <c r="O8">
        <v>2039</v>
      </c>
      <c r="R8" t="s">
        <v>82</v>
      </c>
      <c r="S8" t="s">
        <v>10</v>
      </c>
      <c r="Y8" t="s">
        <v>15</v>
      </c>
      <c r="Z8">
        <v>2024</v>
      </c>
      <c r="AD8" t="s">
        <v>90</v>
      </c>
      <c r="AK8" t="s">
        <v>15</v>
      </c>
      <c r="AL8">
        <v>2072</v>
      </c>
      <c r="AP8" t="s">
        <v>105</v>
      </c>
      <c r="AW8" t="s">
        <v>15</v>
      </c>
      <c r="BI8" t="s">
        <v>129</v>
      </c>
      <c r="BJ8">
        <f t="shared" si="3"/>
        <v>2022</v>
      </c>
      <c r="BK8">
        <f t="shared" si="4"/>
        <v>2</v>
      </c>
      <c r="BL8">
        <f t="shared" si="5"/>
        <v>15</v>
      </c>
      <c r="BM8">
        <f t="shared" si="6"/>
        <v>33</v>
      </c>
      <c r="BN8" t="str">
        <f t="shared" si="7"/>
        <v/>
      </c>
      <c r="BR8" t="s">
        <v>129</v>
      </c>
      <c r="BS8">
        <f t="shared" si="8"/>
        <v>2039</v>
      </c>
      <c r="BT8" t="str">
        <f t="shared" si="9"/>
        <v/>
      </c>
      <c r="BU8" t="str">
        <f t="shared" si="10"/>
        <v/>
      </c>
      <c r="BV8" t="str">
        <f t="shared" si="11"/>
        <v/>
      </c>
      <c r="BW8" t="str">
        <f t="shared" si="12"/>
        <v/>
      </c>
      <c r="CA8" t="s">
        <v>129</v>
      </c>
      <c r="CC8" t="str">
        <f t="shared" si="0"/>
        <v/>
      </c>
      <c r="CD8" t="str">
        <f t="shared" si="1"/>
        <v/>
      </c>
      <c r="CE8" t="str">
        <f t="shared" si="2"/>
        <v/>
      </c>
      <c r="CF8" t="str">
        <f t="shared" si="13"/>
        <v/>
      </c>
      <c r="CJ8" t="s">
        <v>129</v>
      </c>
      <c r="CL8" t="str">
        <f t="shared" si="14"/>
        <v/>
      </c>
      <c r="CM8" t="str">
        <f t="shared" si="15"/>
        <v/>
      </c>
      <c r="CN8" t="str">
        <f t="shared" si="16"/>
        <v/>
      </c>
      <c r="CO8" t="str">
        <f t="shared" si="17"/>
        <v/>
      </c>
    </row>
    <row r="9" spans="1:93" x14ac:dyDescent="0.2">
      <c r="A9" t="s">
        <v>16</v>
      </c>
      <c r="B9">
        <v>2026</v>
      </c>
      <c r="C9">
        <v>2041</v>
      </c>
      <c r="F9" t="s">
        <v>17</v>
      </c>
      <c r="G9" t="s">
        <v>45</v>
      </c>
      <c r="M9" t="s">
        <v>16</v>
      </c>
      <c r="N9">
        <v>2020</v>
      </c>
      <c r="O9">
        <v>2026</v>
      </c>
      <c r="R9" t="s">
        <v>93</v>
      </c>
      <c r="S9" t="s">
        <v>17</v>
      </c>
      <c r="Y9" t="s">
        <v>16</v>
      </c>
      <c r="Z9">
        <v>2023</v>
      </c>
      <c r="AA9">
        <v>2035</v>
      </c>
      <c r="AD9" t="s">
        <v>79</v>
      </c>
      <c r="AE9" t="s">
        <v>76</v>
      </c>
      <c r="AK9" t="s">
        <v>16</v>
      </c>
      <c r="AL9">
        <v>2030</v>
      </c>
      <c r="AP9" t="s">
        <v>69</v>
      </c>
      <c r="AW9" t="s">
        <v>16</v>
      </c>
      <c r="AX9">
        <v>2039</v>
      </c>
      <c r="BB9" t="s">
        <v>10</v>
      </c>
      <c r="BI9" t="s">
        <v>130</v>
      </c>
      <c r="BJ9">
        <f t="shared" si="3"/>
        <v>2020</v>
      </c>
      <c r="BK9">
        <f t="shared" si="4"/>
        <v>3</v>
      </c>
      <c r="BL9">
        <f t="shared" si="5"/>
        <v>3</v>
      </c>
      <c r="BM9">
        <f t="shared" si="6"/>
        <v>4</v>
      </c>
      <c r="BN9">
        <f t="shared" si="7"/>
        <v>9</v>
      </c>
      <c r="BR9" t="s">
        <v>130</v>
      </c>
      <c r="BS9">
        <f t="shared" si="8"/>
        <v>2026</v>
      </c>
      <c r="BT9">
        <f t="shared" si="9"/>
        <v>9</v>
      </c>
      <c r="BU9">
        <f t="shared" si="10"/>
        <v>6</v>
      </c>
      <c r="BV9" t="str">
        <f t="shared" si="11"/>
        <v/>
      </c>
      <c r="BW9" t="str">
        <f t="shared" si="12"/>
        <v/>
      </c>
      <c r="CA9" t="s">
        <v>130</v>
      </c>
      <c r="CC9" t="str">
        <f t="shared" si="0"/>
        <v/>
      </c>
      <c r="CD9" t="str">
        <f t="shared" si="1"/>
        <v/>
      </c>
      <c r="CE9" t="str">
        <f t="shared" si="2"/>
        <v/>
      </c>
      <c r="CF9" t="str">
        <f t="shared" si="13"/>
        <v/>
      </c>
      <c r="CJ9" t="s">
        <v>130</v>
      </c>
      <c r="CL9" t="str">
        <f t="shared" si="14"/>
        <v/>
      </c>
      <c r="CM9" t="str">
        <f t="shared" si="15"/>
        <v/>
      </c>
      <c r="CN9" t="str">
        <f t="shared" si="16"/>
        <v/>
      </c>
      <c r="CO9" t="str">
        <f t="shared" si="17"/>
        <v/>
      </c>
    </row>
    <row r="10" spans="1:93" x14ac:dyDescent="0.2">
      <c r="A10" t="s">
        <v>18</v>
      </c>
      <c r="M10" t="s">
        <v>18</v>
      </c>
      <c r="N10">
        <v>2012</v>
      </c>
      <c r="R10" t="s">
        <v>95</v>
      </c>
      <c r="Y10" t="s">
        <v>18</v>
      </c>
      <c r="Z10">
        <v>2015</v>
      </c>
      <c r="AD10" t="s">
        <v>100</v>
      </c>
      <c r="AK10" t="s">
        <v>18</v>
      </c>
      <c r="AW10" t="s">
        <v>18</v>
      </c>
      <c r="BI10" t="s">
        <v>131</v>
      </c>
      <c r="BJ10">
        <f t="shared" si="3"/>
        <v>2012</v>
      </c>
      <c r="BK10">
        <f t="shared" si="4"/>
        <v>3</v>
      </c>
      <c r="BL10" t="str">
        <f t="shared" si="5"/>
        <v/>
      </c>
      <c r="BM10" t="str">
        <f t="shared" si="6"/>
        <v/>
      </c>
      <c r="BN10" t="str">
        <f t="shared" si="7"/>
        <v/>
      </c>
      <c r="BR10" t="s">
        <v>131</v>
      </c>
      <c r="BT10" t="str">
        <f t="shared" si="9"/>
        <v/>
      </c>
      <c r="BU10" t="str">
        <f t="shared" si="10"/>
        <v/>
      </c>
      <c r="BV10" t="str">
        <f t="shared" si="11"/>
        <v/>
      </c>
      <c r="BW10" t="str">
        <f t="shared" si="12"/>
        <v/>
      </c>
      <c r="CA10" t="s">
        <v>131</v>
      </c>
      <c r="CC10" t="str">
        <f t="shared" si="0"/>
        <v/>
      </c>
      <c r="CD10" t="str">
        <f t="shared" si="1"/>
        <v/>
      </c>
      <c r="CE10" t="str">
        <f t="shared" si="2"/>
        <v/>
      </c>
      <c r="CF10" t="str">
        <f t="shared" si="13"/>
        <v/>
      </c>
      <c r="CJ10" t="s">
        <v>131</v>
      </c>
      <c r="CL10" t="str">
        <f t="shared" si="14"/>
        <v/>
      </c>
      <c r="CM10" t="str">
        <f t="shared" si="15"/>
        <v/>
      </c>
      <c r="CN10" t="str">
        <f t="shared" si="16"/>
        <v/>
      </c>
      <c r="CO10" t="str">
        <f t="shared" si="17"/>
        <v/>
      </c>
    </row>
    <row r="11" spans="1:93" x14ac:dyDescent="0.2">
      <c r="A11" t="s">
        <v>19</v>
      </c>
      <c r="B11">
        <v>2055</v>
      </c>
      <c r="C11">
        <v>2067</v>
      </c>
      <c r="F11" t="s">
        <v>20</v>
      </c>
      <c r="G11" t="s">
        <v>80</v>
      </c>
      <c r="M11" t="s">
        <v>19</v>
      </c>
      <c r="N11">
        <v>2036</v>
      </c>
      <c r="O11">
        <v>2055</v>
      </c>
      <c r="R11" t="s">
        <v>91</v>
      </c>
      <c r="S11" t="s">
        <v>20</v>
      </c>
      <c r="Y11" t="s">
        <v>19</v>
      </c>
      <c r="Z11">
        <v>2044</v>
      </c>
      <c r="AA11">
        <v>2057</v>
      </c>
      <c r="AD11" t="s">
        <v>104</v>
      </c>
      <c r="AE11" t="s">
        <v>27</v>
      </c>
      <c r="AK11" t="s">
        <v>19</v>
      </c>
      <c r="AL11">
        <v>2057</v>
      </c>
      <c r="AP11" t="s">
        <v>27</v>
      </c>
      <c r="AW11" t="s">
        <v>19</v>
      </c>
      <c r="AX11">
        <v>2065</v>
      </c>
      <c r="BB11" t="s">
        <v>35</v>
      </c>
      <c r="BI11" t="s">
        <v>132</v>
      </c>
      <c r="BJ11">
        <f t="shared" si="3"/>
        <v>2036</v>
      </c>
      <c r="BK11">
        <f t="shared" si="4"/>
        <v>8</v>
      </c>
      <c r="BL11">
        <f t="shared" si="5"/>
        <v>11</v>
      </c>
      <c r="BM11">
        <f t="shared" si="6"/>
        <v>2</v>
      </c>
      <c r="BN11">
        <f t="shared" si="7"/>
        <v>8</v>
      </c>
      <c r="BR11" t="s">
        <v>132</v>
      </c>
      <c r="BS11">
        <f t="shared" si="8"/>
        <v>2055</v>
      </c>
      <c r="BT11">
        <f t="shared" si="9"/>
        <v>2</v>
      </c>
      <c r="BU11">
        <f t="shared" si="10"/>
        <v>10</v>
      </c>
      <c r="BV11" t="str">
        <f t="shared" si="11"/>
        <v/>
      </c>
      <c r="BW11" t="str">
        <f t="shared" si="12"/>
        <v/>
      </c>
      <c r="CA11" t="s">
        <v>132</v>
      </c>
      <c r="CC11" t="str">
        <f t="shared" si="0"/>
        <v/>
      </c>
      <c r="CD11" t="str">
        <f t="shared" si="1"/>
        <v/>
      </c>
      <c r="CE11" t="str">
        <f t="shared" si="2"/>
        <v/>
      </c>
      <c r="CF11" t="str">
        <f t="shared" si="13"/>
        <v/>
      </c>
      <c r="CJ11" t="s">
        <v>132</v>
      </c>
      <c r="CL11" t="str">
        <f t="shared" si="14"/>
        <v/>
      </c>
      <c r="CM11" t="str">
        <f t="shared" si="15"/>
        <v/>
      </c>
      <c r="CN11" t="str">
        <f t="shared" si="16"/>
        <v/>
      </c>
      <c r="CO11" t="str">
        <f t="shared" si="17"/>
        <v/>
      </c>
    </row>
    <row r="12" spans="1:93" x14ac:dyDescent="0.2">
      <c r="A12" t="s">
        <v>22</v>
      </c>
      <c r="B12">
        <v>2049</v>
      </c>
      <c r="C12">
        <v>2057</v>
      </c>
      <c r="F12" t="s">
        <v>23</v>
      </c>
      <c r="G12" t="s">
        <v>27</v>
      </c>
      <c r="M12" t="s">
        <v>22</v>
      </c>
      <c r="N12">
        <v>2027</v>
      </c>
      <c r="O12">
        <v>2049</v>
      </c>
      <c r="P12">
        <v>2091</v>
      </c>
      <c r="R12" t="s">
        <v>48</v>
      </c>
      <c r="S12" t="s">
        <v>23</v>
      </c>
      <c r="T12" t="s">
        <v>115</v>
      </c>
      <c r="Y12" t="s">
        <v>22</v>
      </c>
      <c r="Z12">
        <v>2032</v>
      </c>
      <c r="AA12">
        <v>2054</v>
      </c>
      <c r="AD12" t="s">
        <v>31</v>
      </c>
      <c r="AE12" t="s">
        <v>14</v>
      </c>
      <c r="AK12" t="s">
        <v>22</v>
      </c>
      <c r="AL12">
        <v>2054</v>
      </c>
      <c r="AM12">
        <v>2088</v>
      </c>
      <c r="AP12" t="s">
        <v>14</v>
      </c>
      <c r="AQ12" t="s">
        <v>122</v>
      </c>
      <c r="AW12" t="s">
        <v>22</v>
      </c>
      <c r="AX12">
        <v>2057</v>
      </c>
      <c r="AY12">
        <v>2091</v>
      </c>
      <c r="BB12" t="s">
        <v>27</v>
      </c>
      <c r="BC12" t="s">
        <v>115</v>
      </c>
      <c r="BI12" t="s">
        <v>133</v>
      </c>
      <c r="BJ12">
        <f t="shared" si="3"/>
        <v>2027</v>
      </c>
      <c r="BK12">
        <f t="shared" si="4"/>
        <v>5</v>
      </c>
      <c r="BL12">
        <f t="shared" si="5"/>
        <v>17</v>
      </c>
      <c r="BM12">
        <f t="shared" si="6"/>
        <v>5</v>
      </c>
      <c r="BN12">
        <f t="shared" si="7"/>
        <v>3</v>
      </c>
      <c r="BR12" t="s">
        <v>133</v>
      </c>
      <c r="BS12">
        <f t="shared" si="8"/>
        <v>2049</v>
      </c>
      <c r="BT12">
        <f t="shared" si="9"/>
        <v>5</v>
      </c>
      <c r="BU12">
        <f t="shared" si="10"/>
        <v>3</v>
      </c>
      <c r="BV12">
        <f t="shared" si="11"/>
        <v>31</v>
      </c>
      <c r="BW12">
        <f t="shared" si="12"/>
        <v>3</v>
      </c>
      <c r="CA12" t="s">
        <v>133</v>
      </c>
      <c r="CB12">
        <f t="shared" ref="CB4:CB36" si="18">P12</f>
        <v>2091</v>
      </c>
      <c r="CC12" t="str">
        <f t="shared" si="0"/>
        <v/>
      </c>
      <c r="CD12" t="str">
        <f t="shared" si="1"/>
        <v/>
      </c>
      <c r="CE12" t="str">
        <f t="shared" si="2"/>
        <v/>
      </c>
      <c r="CF12" t="str">
        <f t="shared" si="13"/>
        <v/>
      </c>
      <c r="CJ12" t="s">
        <v>133</v>
      </c>
      <c r="CL12" t="str">
        <f t="shared" si="14"/>
        <v/>
      </c>
      <c r="CM12" t="str">
        <f t="shared" si="15"/>
        <v/>
      </c>
      <c r="CN12" t="str">
        <f t="shared" si="16"/>
        <v/>
      </c>
      <c r="CO12" t="str">
        <f t="shared" si="17"/>
        <v/>
      </c>
    </row>
    <row r="13" spans="1:93" x14ac:dyDescent="0.2">
      <c r="A13" t="s">
        <v>25</v>
      </c>
      <c r="B13">
        <v>2046</v>
      </c>
      <c r="C13">
        <v>2057</v>
      </c>
      <c r="F13" t="s">
        <v>26</v>
      </c>
      <c r="G13" t="s">
        <v>27</v>
      </c>
      <c r="M13" t="s">
        <v>25</v>
      </c>
      <c r="N13">
        <v>2022</v>
      </c>
      <c r="O13">
        <v>2046</v>
      </c>
      <c r="R13" t="s">
        <v>82</v>
      </c>
      <c r="S13" t="s">
        <v>26</v>
      </c>
      <c r="Y13" t="s">
        <v>25</v>
      </c>
      <c r="Z13">
        <v>2028</v>
      </c>
      <c r="AA13">
        <v>2054</v>
      </c>
      <c r="AD13" t="s">
        <v>65</v>
      </c>
      <c r="AE13" t="s">
        <v>14</v>
      </c>
      <c r="AK13" t="s">
        <v>25</v>
      </c>
      <c r="AL13">
        <v>2049</v>
      </c>
      <c r="AM13">
        <v>2088</v>
      </c>
      <c r="AP13" t="s">
        <v>23</v>
      </c>
      <c r="AQ13" t="s">
        <v>122</v>
      </c>
      <c r="AW13" t="s">
        <v>25</v>
      </c>
      <c r="AX13">
        <v>2056</v>
      </c>
      <c r="BB13" t="s">
        <v>42</v>
      </c>
      <c r="BI13" t="s">
        <v>134</v>
      </c>
      <c r="BJ13">
        <f t="shared" si="3"/>
        <v>2022</v>
      </c>
      <c r="BK13">
        <f t="shared" si="4"/>
        <v>6</v>
      </c>
      <c r="BL13">
        <f t="shared" si="5"/>
        <v>18</v>
      </c>
      <c r="BM13">
        <f t="shared" si="6"/>
        <v>3</v>
      </c>
      <c r="BN13">
        <f t="shared" si="7"/>
        <v>7</v>
      </c>
      <c r="BR13" t="s">
        <v>134</v>
      </c>
      <c r="BS13">
        <f t="shared" si="8"/>
        <v>2046</v>
      </c>
      <c r="BT13">
        <f t="shared" si="9"/>
        <v>8</v>
      </c>
      <c r="BU13">
        <f t="shared" si="10"/>
        <v>3</v>
      </c>
      <c r="BV13">
        <f t="shared" si="11"/>
        <v>31</v>
      </c>
      <c r="BW13" t="str">
        <f t="shared" si="12"/>
        <v/>
      </c>
      <c r="CA13" t="s">
        <v>134</v>
      </c>
      <c r="CC13" t="str">
        <f t="shared" si="0"/>
        <v/>
      </c>
      <c r="CD13" t="str">
        <f t="shared" si="1"/>
        <v/>
      </c>
      <c r="CE13" t="str">
        <f t="shared" si="2"/>
        <v/>
      </c>
      <c r="CF13" t="str">
        <f t="shared" si="13"/>
        <v/>
      </c>
      <c r="CJ13" t="s">
        <v>134</v>
      </c>
      <c r="CL13" t="str">
        <f t="shared" si="14"/>
        <v/>
      </c>
      <c r="CM13" t="str">
        <f t="shared" si="15"/>
        <v/>
      </c>
      <c r="CN13" t="str">
        <f t="shared" si="16"/>
        <v/>
      </c>
      <c r="CO13" t="str">
        <f t="shared" si="17"/>
        <v/>
      </c>
    </row>
    <row r="14" spans="1:93" x14ac:dyDescent="0.2">
      <c r="A14" t="s">
        <v>28</v>
      </c>
      <c r="B14">
        <v>2049</v>
      </c>
      <c r="C14">
        <v>2060</v>
      </c>
      <c r="F14" t="s">
        <v>23</v>
      </c>
      <c r="G14" t="s">
        <v>101</v>
      </c>
      <c r="M14" t="s">
        <v>28</v>
      </c>
      <c r="N14">
        <v>2022</v>
      </c>
      <c r="O14">
        <v>2050</v>
      </c>
      <c r="R14" t="s">
        <v>82</v>
      </c>
      <c r="S14" t="s">
        <v>8</v>
      </c>
      <c r="Y14" t="s">
        <v>28</v>
      </c>
      <c r="Z14">
        <v>2030</v>
      </c>
      <c r="AA14">
        <v>2054</v>
      </c>
      <c r="AD14" t="s">
        <v>69</v>
      </c>
      <c r="AE14" t="s">
        <v>14</v>
      </c>
      <c r="AK14" t="s">
        <v>28</v>
      </c>
      <c r="AL14">
        <v>2052</v>
      </c>
      <c r="AP14" t="s">
        <v>32</v>
      </c>
      <c r="AW14" t="s">
        <v>28</v>
      </c>
      <c r="AX14">
        <v>2057</v>
      </c>
      <c r="BB14" t="s">
        <v>27</v>
      </c>
      <c r="BI14" t="s">
        <v>135</v>
      </c>
      <c r="BJ14">
        <f t="shared" si="3"/>
        <v>2022</v>
      </c>
      <c r="BK14">
        <f t="shared" si="4"/>
        <v>8</v>
      </c>
      <c r="BL14">
        <f t="shared" si="5"/>
        <v>19</v>
      </c>
      <c r="BM14">
        <f t="shared" si="6"/>
        <v>3</v>
      </c>
      <c r="BN14">
        <f t="shared" si="7"/>
        <v>5</v>
      </c>
      <c r="BR14" t="s">
        <v>135</v>
      </c>
      <c r="BS14">
        <f t="shared" si="8"/>
        <v>2050</v>
      </c>
      <c r="BT14">
        <f t="shared" si="9"/>
        <v>4</v>
      </c>
      <c r="BU14">
        <f t="shared" si="10"/>
        <v>6</v>
      </c>
      <c r="BV14" t="str">
        <f t="shared" si="11"/>
        <v/>
      </c>
      <c r="BW14" t="str">
        <f t="shared" si="12"/>
        <v/>
      </c>
      <c r="CA14" t="s">
        <v>135</v>
      </c>
      <c r="CC14" t="str">
        <f t="shared" si="0"/>
        <v/>
      </c>
      <c r="CD14" t="str">
        <f t="shared" si="1"/>
        <v/>
      </c>
      <c r="CE14" t="str">
        <f t="shared" si="2"/>
        <v/>
      </c>
      <c r="CF14" t="str">
        <f t="shared" si="13"/>
        <v/>
      </c>
      <c r="CJ14" t="s">
        <v>135</v>
      </c>
      <c r="CL14" t="str">
        <f t="shared" si="14"/>
        <v/>
      </c>
      <c r="CM14" t="str">
        <f t="shared" si="15"/>
        <v/>
      </c>
      <c r="CN14" t="str">
        <f t="shared" si="16"/>
        <v/>
      </c>
      <c r="CO14" t="str">
        <f t="shared" si="17"/>
        <v/>
      </c>
    </row>
    <row r="15" spans="1:93" x14ac:dyDescent="0.2">
      <c r="A15" t="s">
        <v>30</v>
      </c>
      <c r="B15">
        <v>2032</v>
      </c>
      <c r="C15">
        <v>2052</v>
      </c>
      <c r="F15" t="s">
        <v>31</v>
      </c>
      <c r="G15" t="s">
        <v>32</v>
      </c>
      <c r="M15" t="s">
        <v>30</v>
      </c>
      <c r="N15">
        <v>2016</v>
      </c>
      <c r="O15">
        <v>2033</v>
      </c>
      <c r="P15">
        <v>2075</v>
      </c>
      <c r="R15" t="s">
        <v>106</v>
      </c>
      <c r="S15" t="s">
        <v>89</v>
      </c>
      <c r="T15" t="s">
        <v>121</v>
      </c>
      <c r="Y15" t="s">
        <v>30</v>
      </c>
      <c r="Z15">
        <v>2023</v>
      </c>
      <c r="AA15">
        <v>2042</v>
      </c>
      <c r="AB15">
        <v>2083</v>
      </c>
      <c r="AD15" t="s">
        <v>79</v>
      </c>
      <c r="AE15" t="s">
        <v>55</v>
      </c>
      <c r="AF15" t="s">
        <v>58</v>
      </c>
      <c r="AK15" t="s">
        <v>30</v>
      </c>
      <c r="AL15">
        <v>2041</v>
      </c>
      <c r="AM15">
        <v>2060</v>
      </c>
      <c r="AP15" t="s">
        <v>45</v>
      </c>
      <c r="AQ15" t="s">
        <v>101</v>
      </c>
      <c r="AW15" t="s">
        <v>30</v>
      </c>
      <c r="AX15">
        <v>2051</v>
      </c>
      <c r="AY15">
        <v>2075</v>
      </c>
      <c r="BB15" t="s">
        <v>74</v>
      </c>
      <c r="BC15" t="s">
        <v>121</v>
      </c>
      <c r="BI15" t="s">
        <v>136</v>
      </c>
      <c r="BJ15">
        <f t="shared" si="3"/>
        <v>2016</v>
      </c>
      <c r="BK15">
        <f t="shared" si="4"/>
        <v>7</v>
      </c>
      <c r="BL15">
        <f t="shared" si="5"/>
        <v>9</v>
      </c>
      <c r="BM15">
        <f t="shared" si="6"/>
        <v>9</v>
      </c>
      <c r="BN15">
        <f t="shared" si="7"/>
        <v>10</v>
      </c>
      <c r="BR15" t="s">
        <v>136</v>
      </c>
      <c r="BS15">
        <f t="shared" si="8"/>
        <v>2033</v>
      </c>
      <c r="BT15">
        <f t="shared" si="9"/>
        <v>9</v>
      </c>
      <c r="BU15">
        <f t="shared" si="10"/>
        <v>10</v>
      </c>
      <c r="BV15">
        <f t="shared" si="11"/>
        <v>8</v>
      </c>
      <c r="BW15">
        <f t="shared" si="12"/>
        <v>15</v>
      </c>
      <c r="CA15" t="s">
        <v>136</v>
      </c>
      <c r="CB15">
        <f t="shared" si="18"/>
        <v>2075</v>
      </c>
      <c r="CC15">
        <f t="shared" si="0"/>
        <v>8</v>
      </c>
      <c r="CD15" t="str">
        <f t="shared" si="1"/>
        <v/>
      </c>
      <c r="CE15" t="str">
        <f t="shared" si="2"/>
        <v/>
      </c>
      <c r="CF15" t="str">
        <f t="shared" si="13"/>
        <v/>
      </c>
      <c r="CJ15" t="s">
        <v>136</v>
      </c>
      <c r="CL15" t="str">
        <f t="shared" si="14"/>
        <v/>
      </c>
      <c r="CM15" t="str">
        <f t="shared" si="15"/>
        <v/>
      </c>
      <c r="CN15" t="str">
        <f t="shared" si="16"/>
        <v/>
      </c>
      <c r="CO15" t="str">
        <f t="shared" si="17"/>
        <v/>
      </c>
    </row>
    <row r="16" spans="1:93" x14ac:dyDescent="0.2">
      <c r="A16" t="s">
        <v>33</v>
      </c>
      <c r="B16">
        <v>2031</v>
      </c>
      <c r="C16">
        <v>2065</v>
      </c>
      <c r="F16" t="s">
        <v>34</v>
      </c>
      <c r="G16" t="s">
        <v>35</v>
      </c>
      <c r="M16" t="s">
        <v>33</v>
      </c>
      <c r="N16">
        <v>2019</v>
      </c>
      <c r="O16">
        <v>2031</v>
      </c>
      <c r="P16">
        <v>2076</v>
      </c>
      <c r="R16" t="s">
        <v>102</v>
      </c>
      <c r="S16" t="s">
        <v>34</v>
      </c>
      <c r="T16" t="s">
        <v>21</v>
      </c>
      <c r="Y16" t="s">
        <v>33</v>
      </c>
      <c r="Z16">
        <v>2021</v>
      </c>
      <c r="AA16">
        <v>2063</v>
      </c>
      <c r="AD16" t="s">
        <v>13</v>
      </c>
      <c r="AE16" t="s">
        <v>111</v>
      </c>
      <c r="AK16" t="s">
        <v>33</v>
      </c>
      <c r="AL16">
        <v>2040</v>
      </c>
      <c r="AM16">
        <v>2072</v>
      </c>
      <c r="AP16" t="s">
        <v>66</v>
      </c>
      <c r="AQ16" t="s">
        <v>105</v>
      </c>
      <c r="AW16" t="s">
        <v>33</v>
      </c>
      <c r="AX16">
        <v>2065</v>
      </c>
      <c r="AY16">
        <v>2075</v>
      </c>
      <c r="BB16" t="s">
        <v>35</v>
      </c>
      <c r="BC16" t="s">
        <v>121</v>
      </c>
      <c r="BI16" t="s">
        <v>137</v>
      </c>
      <c r="BJ16">
        <f t="shared" si="3"/>
        <v>2019</v>
      </c>
      <c r="BK16">
        <f t="shared" si="4"/>
        <v>2</v>
      </c>
      <c r="BL16">
        <f t="shared" si="5"/>
        <v>10</v>
      </c>
      <c r="BM16">
        <f t="shared" si="6"/>
        <v>9</v>
      </c>
      <c r="BN16">
        <f t="shared" si="7"/>
        <v>25</v>
      </c>
      <c r="BR16" t="s">
        <v>137</v>
      </c>
      <c r="BS16">
        <f t="shared" si="8"/>
        <v>2031</v>
      </c>
      <c r="BT16">
        <f t="shared" si="9"/>
        <v>32</v>
      </c>
      <c r="BU16">
        <f t="shared" si="10"/>
        <v>2</v>
      </c>
      <c r="BV16">
        <f t="shared" si="11"/>
        <v>7</v>
      </c>
      <c r="BW16">
        <f t="shared" si="12"/>
        <v>3</v>
      </c>
      <c r="CA16" t="s">
        <v>137</v>
      </c>
      <c r="CB16">
        <f t="shared" si="18"/>
        <v>2076</v>
      </c>
      <c r="CC16" t="str">
        <f t="shared" si="0"/>
        <v/>
      </c>
      <c r="CD16" t="str">
        <f t="shared" si="1"/>
        <v/>
      </c>
      <c r="CE16" t="str">
        <f t="shared" si="2"/>
        <v/>
      </c>
      <c r="CF16" t="str">
        <f t="shared" si="13"/>
        <v/>
      </c>
      <c r="CJ16" t="s">
        <v>137</v>
      </c>
      <c r="CL16" t="str">
        <f t="shared" si="14"/>
        <v/>
      </c>
      <c r="CM16" t="str">
        <f t="shared" si="15"/>
        <v/>
      </c>
      <c r="CN16" t="str">
        <f t="shared" si="16"/>
        <v/>
      </c>
      <c r="CO16" t="str">
        <f t="shared" si="17"/>
        <v/>
      </c>
    </row>
    <row r="17" spans="1:93" x14ac:dyDescent="0.2">
      <c r="A17" t="s">
        <v>36</v>
      </c>
      <c r="B17">
        <v>2038</v>
      </c>
      <c r="C17">
        <v>2072</v>
      </c>
      <c r="F17" t="s">
        <v>37</v>
      </c>
      <c r="G17" t="s">
        <v>105</v>
      </c>
      <c r="M17" t="s">
        <v>36</v>
      </c>
      <c r="N17">
        <v>2026</v>
      </c>
      <c r="O17">
        <v>2038</v>
      </c>
      <c r="R17" t="s">
        <v>17</v>
      </c>
      <c r="S17" t="s">
        <v>37</v>
      </c>
      <c r="Y17" t="s">
        <v>36</v>
      </c>
      <c r="Z17">
        <v>2029</v>
      </c>
      <c r="AA17">
        <v>2042</v>
      </c>
      <c r="AD17" t="s">
        <v>72</v>
      </c>
      <c r="AE17" t="s">
        <v>55</v>
      </c>
      <c r="AK17" t="s">
        <v>36</v>
      </c>
      <c r="AL17">
        <v>2040</v>
      </c>
      <c r="AP17" t="s">
        <v>66</v>
      </c>
      <c r="AW17" t="s">
        <v>36</v>
      </c>
      <c r="AX17">
        <v>2071</v>
      </c>
      <c r="BB17" t="s">
        <v>77</v>
      </c>
      <c r="BI17" t="s">
        <v>138</v>
      </c>
      <c r="BJ17">
        <f t="shared" si="3"/>
        <v>2026</v>
      </c>
      <c r="BK17">
        <f t="shared" si="4"/>
        <v>3</v>
      </c>
      <c r="BL17">
        <f t="shared" si="5"/>
        <v>9</v>
      </c>
      <c r="BM17">
        <f t="shared" si="6"/>
        <v>2</v>
      </c>
      <c r="BN17">
        <f t="shared" si="7"/>
        <v>31</v>
      </c>
      <c r="BR17" t="s">
        <v>138</v>
      </c>
      <c r="BS17">
        <f t="shared" si="8"/>
        <v>2038</v>
      </c>
      <c r="BT17">
        <f t="shared" si="9"/>
        <v>4</v>
      </c>
      <c r="BU17">
        <f t="shared" si="10"/>
        <v>30</v>
      </c>
      <c r="BV17" t="str">
        <f t="shared" si="11"/>
        <v/>
      </c>
      <c r="BW17" t="str">
        <f t="shared" si="12"/>
        <v/>
      </c>
      <c r="CA17" t="s">
        <v>138</v>
      </c>
      <c r="CC17" t="str">
        <f t="shared" si="0"/>
        <v/>
      </c>
      <c r="CD17" t="str">
        <f t="shared" si="1"/>
        <v/>
      </c>
      <c r="CE17" t="str">
        <f t="shared" si="2"/>
        <v/>
      </c>
      <c r="CF17" t="str">
        <f t="shared" si="13"/>
        <v/>
      </c>
      <c r="CJ17" t="s">
        <v>138</v>
      </c>
      <c r="CL17" t="str">
        <f t="shared" si="14"/>
        <v/>
      </c>
      <c r="CM17" t="str">
        <f t="shared" si="15"/>
        <v/>
      </c>
      <c r="CN17" t="str">
        <f t="shared" si="16"/>
        <v/>
      </c>
      <c r="CO17" t="str">
        <f t="shared" si="17"/>
        <v/>
      </c>
    </row>
    <row r="18" spans="1:93" x14ac:dyDescent="0.2">
      <c r="A18" t="s">
        <v>39</v>
      </c>
      <c r="B18">
        <v>2038</v>
      </c>
      <c r="C18">
        <v>2070</v>
      </c>
      <c r="F18" t="s">
        <v>37</v>
      </c>
      <c r="G18" t="s">
        <v>40</v>
      </c>
      <c r="M18" t="s">
        <v>39</v>
      </c>
      <c r="N18">
        <v>2030</v>
      </c>
      <c r="O18">
        <v>2038</v>
      </c>
      <c r="P18">
        <v>2079</v>
      </c>
      <c r="R18" t="s">
        <v>69</v>
      </c>
      <c r="S18" t="s">
        <v>37</v>
      </c>
      <c r="T18" t="s">
        <v>99</v>
      </c>
      <c r="Y18" t="s">
        <v>39</v>
      </c>
      <c r="Z18">
        <v>2031</v>
      </c>
      <c r="AA18">
        <v>2047</v>
      </c>
      <c r="AD18" t="s">
        <v>34</v>
      </c>
      <c r="AE18" t="s">
        <v>96</v>
      </c>
      <c r="AK18" t="s">
        <v>39</v>
      </c>
      <c r="AL18">
        <v>2045</v>
      </c>
      <c r="AM18">
        <v>2075</v>
      </c>
      <c r="AP18" t="s">
        <v>84</v>
      </c>
      <c r="AQ18" t="s">
        <v>121</v>
      </c>
      <c r="AW18" t="s">
        <v>39</v>
      </c>
      <c r="AX18">
        <v>2069</v>
      </c>
      <c r="AY18">
        <v>2079</v>
      </c>
      <c r="BB18" t="s">
        <v>46</v>
      </c>
      <c r="BC18" t="s">
        <v>99</v>
      </c>
      <c r="BI18" t="s">
        <v>139</v>
      </c>
      <c r="BJ18">
        <f t="shared" si="3"/>
        <v>2030</v>
      </c>
      <c r="BK18">
        <f t="shared" si="4"/>
        <v>1</v>
      </c>
      <c r="BL18">
        <f t="shared" si="5"/>
        <v>7</v>
      </c>
      <c r="BM18">
        <f t="shared" si="6"/>
        <v>7</v>
      </c>
      <c r="BN18">
        <f t="shared" si="7"/>
        <v>24</v>
      </c>
      <c r="BR18" t="s">
        <v>139</v>
      </c>
      <c r="BS18">
        <f t="shared" si="8"/>
        <v>2038</v>
      </c>
      <c r="BT18">
        <f t="shared" si="9"/>
        <v>9</v>
      </c>
      <c r="BU18">
        <f t="shared" si="10"/>
        <v>23</v>
      </c>
      <c r="BV18">
        <f t="shared" si="11"/>
        <v>5</v>
      </c>
      <c r="BW18">
        <f t="shared" si="12"/>
        <v>4</v>
      </c>
      <c r="CA18" t="s">
        <v>139</v>
      </c>
      <c r="CB18">
        <f t="shared" si="18"/>
        <v>2079</v>
      </c>
      <c r="CC18" t="str">
        <f t="shared" si="0"/>
        <v/>
      </c>
      <c r="CD18" t="str">
        <f t="shared" si="1"/>
        <v/>
      </c>
      <c r="CE18" t="str">
        <f t="shared" si="2"/>
        <v/>
      </c>
      <c r="CF18" t="str">
        <f t="shared" si="13"/>
        <v/>
      </c>
      <c r="CJ18" t="s">
        <v>139</v>
      </c>
      <c r="CL18" t="str">
        <f t="shared" si="14"/>
        <v/>
      </c>
      <c r="CM18" t="str">
        <f t="shared" si="15"/>
        <v/>
      </c>
      <c r="CN18" t="str">
        <f t="shared" si="16"/>
        <v/>
      </c>
      <c r="CO18" t="str">
        <f t="shared" si="17"/>
        <v/>
      </c>
    </row>
    <row r="19" spans="1:93" x14ac:dyDescent="0.2">
      <c r="A19" t="s">
        <v>41</v>
      </c>
      <c r="B19">
        <v>2037</v>
      </c>
      <c r="C19">
        <v>2047</v>
      </c>
      <c r="F19" t="s">
        <v>98</v>
      </c>
      <c r="G19" t="s">
        <v>96</v>
      </c>
      <c r="M19" t="s">
        <v>41</v>
      </c>
      <c r="N19">
        <v>2025</v>
      </c>
      <c r="O19">
        <v>2038</v>
      </c>
      <c r="P19">
        <v>2070</v>
      </c>
      <c r="R19" t="s">
        <v>44</v>
      </c>
      <c r="S19" t="s">
        <v>37</v>
      </c>
      <c r="T19" t="s">
        <v>40</v>
      </c>
      <c r="Y19" t="s">
        <v>41</v>
      </c>
      <c r="Z19">
        <v>2030</v>
      </c>
      <c r="AA19">
        <v>2041</v>
      </c>
      <c r="AB19">
        <v>2075</v>
      </c>
      <c r="AD19" t="s">
        <v>69</v>
      </c>
      <c r="AE19" t="s">
        <v>45</v>
      </c>
      <c r="AF19" t="s">
        <v>121</v>
      </c>
      <c r="AK19" t="s">
        <v>41</v>
      </c>
      <c r="AL19">
        <v>2041</v>
      </c>
      <c r="AM19">
        <v>2069</v>
      </c>
      <c r="AP19" t="s">
        <v>45</v>
      </c>
      <c r="AQ19" t="s">
        <v>46</v>
      </c>
      <c r="AW19" t="s">
        <v>41</v>
      </c>
      <c r="AX19">
        <v>2047</v>
      </c>
      <c r="AY19">
        <v>2070</v>
      </c>
      <c r="BB19" t="s">
        <v>96</v>
      </c>
      <c r="BC19" t="s">
        <v>40</v>
      </c>
      <c r="BI19" t="s">
        <v>140</v>
      </c>
      <c r="BJ19">
        <f t="shared" si="3"/>
        <v>2025</v>
      </c>
      <c r="BK19">
        <f t="shared" si="4"/>
        <v>5</v>
      </c>
      <c r="BL19">
        <f t="shared" si="5"/>
        <v>7</v>
      </c>
      <c r="BM19">
        <f t="shared" si="6"/>
        <v>4</v>
      </c>
      <c r="BN19">
        <f t="shared" si="7"/>
        <v>6</v>
      </c>
      <c r="BR19" t="s">
        <v>140</v>
      </c>
      <c r="BS19">
        <f t="shared" si="8"/>
        <v>2038</v>
      </c>
      <c r="BT19">
        <f t="shared" si="9"/>
        <v>3</v>
      </c>
      <c r="BU19">
        <f t="shared" si="10"/>
        <v>6</v>
      </c>
      <c r="BV19">
        <f t="shared" si="11"/>
        <v>22</v>
      </c>
      <c r="BW19">
        <f t="shared" si="12"/>
        <v>1</v>
      </c>
      <c r="CA19" t="s">
        <v>140</v>
      </c>
      <c r="CB19">
        <f t="shared" si="18"/>
        <v>2070</v>
      </c>
      <c r="CC19">
        <f t="shared" si="0"/>
        <v>5</v>
      </c>
      <c r="CD19" t="str">
        <f t="shared" si="1"/>
        <v/>
      </c>
      <c r="CE19" t="str">
        <f t="shared" si="2"/>
        <v/>
      </c>
      <c r="CF19" t="str">
        <f t="shared" si="13"/>
        <v/>
      </c>
      <c r="CJ19" t="s">
        <v>140</v>
      </c>
      <c r="CL19" t="str">
        <f t="shared" si="14"/>
        <v/>
      </c>
      <c r="CM19" t="str">
        <f t="shared" si="15"/>
        <v/>
      </c>
      <c r="CN19" t="str">
        <f t="shared" si="16"/>
        <v/>
      </c>
      <c r="CO19" t="str">
        <f t="shared" si="17"/>
        <v/>
      </c>
    </row>
    <row r="20" spans="1:93" x14ac:dyDescent="0.2">
      <c r="A20" t="s">
        <v>43</v>
      </c>
      <c r="B20">
        <v>2025</v>
      </c>
      <c r="C20">
        <v>2040</v>
      </c>
      <c r="D20">
        <v>2064</v>
      </c>
      <c r="F20" t="s">
        <v>44</v>
      </c>
      <c r="G20" t="s">
        <v>66</v>
      </c>
      <c r="H20" t="s">
        <v>108</v>
      </c>
      <c r="M20" t="s">
        <v>43</v>
      </c>
      <c r="N20">
        <v>2016</v>
      </c>
      <c r="O20">
        <v>2025</v>
      </c>
      <c r="P20">
        <v>2048</v>
      </c>
      <c r="R20" t="s">
        <v>106</v>
      </c>
      <c r="S20" t="s">
        <v>44</v>
      </c>
      <c r="T20" t="s">
        <v>110</v>
      </c>
      <c r="Y20" t="s">
        <v>43</v>
      </c>
      <c r="Z20">
        <v>2017</v>
      </c>
      <c r="AA20">
        <v>2032</v>
      </c>
      <c r="AB20">
        <v>2055</v>
      </c>
      <c r="AD20" t="s">
        <v>94</v>
      </c>
      <c r="AE20" t="s">
        <v>31</v>
      </c>
      <c r="AF20" t="s">
        <v>20</v>
      </c>
      <c r="AK20" t="s">
        <v>43</v>
      </c>
      <c r="AL20">
        <v>2030</v>
      </c>
      <c r="AM20">
        <v>2046</v>
      </c>
      <c r="AP20" t="s">
        <v>69</v>
      </c>
      <c r="AQ20" t="s">
        <v>26</v>
      </c>
      <c r="AW20" t="s">
        <v>43</v>
      </c>
      <c r="AX20">
        <v>2036</v>
      </c>
      <c r="AY20">
        <v>2048</v>
      </c>
      <c r="BB20" t="s">
        <v>91</v>
      </c>
      <c r="BC20" t="s">
        <v>110</v>
      </c>
      <c r="BI20" t="s">
        <v>141</v>
      </c>
      <c r="BJ20">
        <f t="shared" si="3"/>
        <v>2016</v>
      </c>
      <c r="BK20">
        <f t="shared" si="4"/>
        <v>1</v>
      </c>
      <c r="BL20">
        <f t="shared" si="5"/>
        <v>8</v>
      </c>
      <c r="BM20">
        <f t="shared" si="6"/>
        <v>5</v>
      </c>
      <c r="BN20">
        <f t="shared" si="7"/>
        <v>6</v>
      </c>
      <c r="BR20" t="s">
        <v>141</v>
      </c>
      <c r="BS20">
        <f t="shared" si="8"/>
        <v>2025</v>
      </c>
      <c r="BT20">
        <f t="shared" si="9"/>
        <v>7</v>
      </c>
      <c r="BU20">
        <f t="shared" si="10"/>
        <v>8</v>
      </c>
      <c r="BV20">
        <f t="shared" si="11"/>
        <v>6</v>
      </c>
      <c r="BW20">
        <f t="shared" si="12"/>
        <v>2</v>
      </c>
      <c r="CA20" t="s">
        <v>141</v>
      </c>
      <c r="CB20">
        <f t="shared" si="18"/>
        <v>2048</v>
      </c>
      <c r="CC20">
        <f t="shared" si="0"/>
        <v>7</v>
      </c>
      <c r="CD20">
        <f t="shared" si="1"/>
        <v>9</v>
      </c>
      <c r="CE20" t="str">
        <f t="shared" si="2"/>
        <v/>
      </c>
      <c r="CF20" t="str">
        <f t="shared" si="13"/>
        <v/>
      </c>
      <c r="CJ20" t="s">
        <v>141</v>
      </c>
      <c r="CL20" t="str">
        <f t="shared" si="14"/>
        <v/>
      </c>
      <c r="CM20" t="str">
        <f t="shared" si="15"/>
        <v/>
      </c>
      <c r="CN20" t="str">
        <f t="shared" si="16"/>
        <v/>
      </c>
      <c r="CO20" t="str">
        <f t="shared" si="17"/>
        <v/>
      </c>
    </row>
    <row r="21" spans="1:93" x14ac:dyDescent="0.2">
      <c r="A21" t="s">
        <v>47</v>
      </c>
      <c r="B21">
        <v>2027</v>
      </c>
      <c r="C21">
        <v>2043</v>
      </c>
      <c r="D21">
        <v>2070</v>
      </c>
      <c r="F21" t="s">
        <v>48</v>
      </c>
      <c r="G21" t="s">
        <v>49</v>
      </c>
      <c r="H21" t="s">
        <v>40</v>
      </c>
      <c r="M21" t="s">
        <v>47</v>
      </c>
      <c r="N21">
        <v>2015</v>
      </c>
      <c r="O21">
        <v>2027</v>
      </c>
      <c r="P21">
        <v>2058</v>
      </c>
      <c r="R21" t="s">
        <v>100</v>
      </c>
      <c r="S21" t="s">
        <v>48</v>
      </c>
      <c r="T21" t="s">
        <v>24</v>
      </c>
      <c r="Y21" t="s">
        <v>47</v>
      </c>
      <c r="Z21">
        <v>2016</v>
      </c>
      <c r="AA21">
        <v>2034</v>
      </c>
      <c r="AB21">
        <v>2063</v>
      </c>
      <c r="AD21" t="s">
        <v>106</v>
      </c>
      <c r="AE21" t="s">
        <v>53</v>
      </c>
      <c r="AF21" t="s">
        <v>111</v>
      </c>
      <c r="AK21" t="s">
        <v>47</v>
      </c>
      <c r="AL21">
        <v>2033</v>
      </c>
      <c r="AM21">
        <v>2053</v>
      </c>
      <c r="AP21" t="s">
        <v>89</v>
      </c>
      <c r="AQ21" t="s">
        <v>85</v>
      </c>
      <c r="AW21" t="s">
        <v>47</v>
      </c>
      <c r="AX21">
        <v>2039</v>
      </c>
      <c r="AY21">
        <v>2058</v>
      </c>
      <c r="BB21" t="s">
        <v>10</v>
      </c>
      <c r="BC21" t="s">
        <v>24</v>
      </c>
      <c r="BI21" t="s">
        <v>142</v>
      </c>
      <c r="BJ21">
        <f t="shared" si="3"/>
        <v>2015</v>
      </c>
      <c r="BK21">
        <f t="shared" si="4"/>
        <v>1</v>
      </c>
      <c r="BL21">
        <f t="shared" si="5"/>
        <v>11</v>
      </c>
      <c r="BM21">
        <f t="shared" si="6"/>
        <v>6</v>
      </c>
      <c r="BN21">
        <f t="shared" si="7"/>
        <v>6</v>
      </c>
      <c r="BR21" t="s">
        <v>142</v>
      </c>
      <c r="BS21">
        <f t="shared" si="8"/>
        <v>2027</v>
      </c>
      <c r="BT21">
        <f t="shared" si="9"/>
        <v>7</v>
      </c>
      <c r="BU21">
        <f t="shared" si="10"/>
        <v>9</v>
      </c>
      <c r="BV21">
        <f t="shared" si="11"/>
        <v>10</v>
      </c>
      <c r="BW21">
        <f t="shared" si="12"/>
        <v>5</v>
      </c>
      <c r="CA21" t="s">
        <v>142</v>
      </c>
      <c r="CB21">
        <f t="shared" si="18"/>
        <v>2058</v>
      </c>
      <c r="CC21">
        <f t="shared" si="0"/>
        <v>5</v>
      </c>
      <c r="CD21">
        <f t="shared" si="1"/>
        <v>7</v>
      </c>
      <c r="CE21" t="str">
        <f t="shared" si="2"/>
        <v/>
      </c>
      <c r="CF21" t="str">
        <f t="shared" si="13"/>
        <v/>
      </c>
      <c r="CJ21" t="s">
        <v>142</v>
      </c>
      <c r="CL21" t="str">
        <f t="shared" si="14"/>
        <v/>
      </c>
      <c r="CM21" t="str">
        <f t="shared" si="15"/>
        <v/>
      </c>
      <c r="CN21" t="str">
        <f t="shared" si="16"/>
        <v/>
      </c>
      <c r="CO21" t="str">
        <f t="shared" si="17"/>
        <v/>
      </c>
    </row>
    <row r="22" spans="1:93" x14ac:dyDescent="0.2">
      <c r="A22" t="s">
        <v>50</v>
      </c>
      <c r="B22">
        <v>2039</v>
      </c>
      <c r="C22">
        <v>2088</v>
      </c>
      <c r="F22" t="s">
        <v>10</v>
      </c>
      <c r="G22" t="s">
        <v>122</v>
      </c>
      <c r="M22" t="s">
        <v>50</v>
      </c>
      <c r="N22">
        <v>2029</v>
      </c>
      <c r="O22">
        <v>2039</v>
      </c>
      <c r="R22" t="s">
        <v>72</v>
      </c>
      <c r="S22" t="s">
        <v>10</v>
      </c>
      <c r="Y22" t="s">
        <v>50</v>
      </c>
      <c r="Z22">
        <v>2031</v>
      </c>
      <c r="AA22">
        <v>2080</v>
      </c>
      <c r="AD22" t="s">
        <v>34</v>
      </c>
      <c r="AE22" t="s">
        <v>61</v>
      </c>
      <c r="AK22" t="s">
        <v>50</v>
      </c>
      <c r="AL22">
        <v>2067</v>
      </c>
      <c r="AP22" t="s">
        <v>80</v>
      </c>
      <c r="AW22" t="s">
        <v>50</v>
      </c>
      <c r="AX22">
        <v>2084</v>
      </c>
      <c r="BB22" t="s">
        <v>103</v>
      </c>
      <c r="BI22" t="s">
        <v>143</v>
      </c>
      <c r="BJ22">
        <f t="shared" si="3"/>
        <v>2029</v>
      </c>
      <c r="BK22">
        <f t="shared" si="4"/>
        <v>2</v>
      </c>
      <c r="BL22">
        <f t="shared" si="5"/>
        <v>8</v>
      </c>
      <c r="BM22">
        <f t="shared" si="6"/>
        <v>28</v>
      </c>
      <c r="BN22">
        <f t="shared" si="7"/>
        <v>17</v>
      </c>
      <c r="BR22" t="s">
        <v>143</v>
      </c>
      <c r="BS22">
        <f t="shared" si="8"/>
        <v>2039</v>
      </c>
      <c r="BT22">
        <f t="shared" si="9"/>
        <v>41</v>
      </c>
      <c r="BU22">
        <f t="shared" si="10"/>
        <v>8</v>
      </c>
      <c r="BV22" t="str">
        <f t="shared" si="11"/>
        <v/>
      </c>
      <c r="BW22" t="str">
        <f t="shared" si="12"/>
        <v/>
      </c>
      <c r="CA22" t="s">
        <v>143</v>
      </c>
      <c r="CC22" t="str">
        <f t="shared" si="0"/>
        <v/>
      </c>
      <c r="CD22" t="str">
        <f t="shared" si="1"/>
        <v/>
      </c>
      <c r="CE22" t="str">
        <f t="shared" si="2"/>
        <v/>
      </c>
      <c r="CF22" t="str">
        <f t="shared" si="13"/>
        <v/>
      </c>
      <c r="CJ22" t="s">
        <v>143</v>
      </c>
      <c r="CL22" t="str">
        <f t="shared" si="14"/>
        <v/>
      </c>
      <c r="CM22" t="str">
        <f t="shared" si="15"/>
        <v/>
      </c>
      <c r="CN22" t="str">
        <f t="shared" si="16"/>
        <v/>
      </c>
      <c r="CO22" t="str">
        <f t="shared" si="17"/>
        <v/>
      </c>
    </row>
    <row r="23" spans="1:93" x14ac:dyDescent="0.2">
      <c r="A23" t="s">
        <v>52</v>
      </c>
      <c r="B23">
        <v>2033</v>
      </c>
      <c r="C23">
        <v>2070</v>
      </c>
      <c r="F23" t="s">
        <v>89</v>
      </c>
      <c r="G23" t="s">
        <v>40</v>
      </c>
      <c r="M23" t="s">
        <v>52</v>
      </c>
      <c r="N23">
        <v>2025</v>
      </c>
      <c r="O23">
        <v>2034</v>
      </c>
      <c r="R23" t="s">
        <v>44</v>
      </c>
      <c r="S23" t="s">
        <v>53</v>
      </c>
      <c r="Y23" t="s">
        <v>52</v>
      </c>
      <c r="Z23">
        <v>2027</v>
      </c>
      <c r="AA23">
        <v>2038</v>
      </c>
      <c r="AD23" t="s">
        <v>48</v>
      </c>
      <c r="AE23" t="s">
        <v>37</v>
      </c>
      <c r="AK23" t="s">
        <v>52</v>
      </c>
      <c r="AL23">
        <v>2038</v>
      </c>
      <c r="AM23">
        <v>2084</v>
      </c>
      <c r="AP23" t="s">
        <v>37</v>
      </c>
      <c r="AQ23" t="s">
        <v>103</v>
      </c>
      <c r="AW23" t="s">
        <v>52</v>
      </c>
      <c r="AX23">
        <v>2060</v>
      </c>
      <c r="BB23" t="s">
        <v>101</v>
      </c>
      <c r="BI23" t="s">
        <v>144</v>
      </c>
      <c r="BJ23">
        <f t="shared" si="3"/>
        <v>2025</v>
      </c>
      <c r="BK23">
        <f t="shared" si="4"/>
        <v>2</v>
      </c>
      <c r="BL23">
        <f t="shared" si="5"/>
        <v>6</v>
      </c>
      <c r="BM23">
        <f t="shared" si="6"/>
        <v>5</v>
      </c>
      <c r="BN23">
        <f t="shared" si="7"/>
        <v>22</v>
      </c>
      <c r="BR23" t="s">
        <v>144</v>
      </c>
      <c r="BS23">
        <f t="shared" si="8"/>
        <v>2034</v>
      </c>
      <c r="BT23">
        <f t="shared" si="9"/>
        <v>4</v>
      </c>
      <c r="BU23">
        <f t="shared" si="10"/>
        <v>32</v>
      </c>
      <c r="BV23">
        <f t="shared" si="11"/>
        <v>14</v>
      </c>
      <c r="BW23" t="str">
        <f t="shared" si="12"/>
        <v/>
      </c>
      <c r="CA23" t="s">
        <v>144</v>
      </c>
      <c r="CC23" t="str">
        <f t="shared" si="0"/>
        <v/>
      </c>
      <c r="CD23" t="str">
        <f t="shared" si="1"/>
        <v/>
      </c>
      <c r="CE23" t="str">
        <f t="shared" si="2"/>
        <v/>
      </c>
      <c r="CF23" t="str">
        <f t="shared" si="13"/>
        <v/>
      </c>
      <c r="CJ23" t="s">
        <v>144</v>
      </c>
      <c r="CL23" t="str">
        <f t="shared" si="14"/>
        <v/>
      </c>
      <c r="CM23" t="str">
        <f t="shared" si="15"/>
        <v/>
      </c>
      <c r="CN23" t="str">
        <f t="shared" si="16"/>
        <v/>
      </c>
      <c r="CO23" t="str">
        <f t="shared" si="17"/>
        <v/>
      </c>
    </row>
    <row r="24" spans="1:93" x14ac:dyDescent="0.2">
      <c r="A24" t="s">
        <v>54</v>
      </c>
      <c r="B24">
        <v>2042</v>
      </c>
      <c r="C24">
        <v>2055</v>
      </c>
      <c r="D24">
        <v>2074</v>
      </c>
      <c r="F24" t="s">
        <v>55</v>
      </c>
      <c r="G24" t="s">
        <v>20</v>
      </c>
      <c r="H24" t="s">
        <v>119</v>
      </c>
      <c r="M24" t="s">
        <v>54</v>
      </c>
      <c r="N24">
        <v>2029</v>
      </c>
      <c r="O24">
        <v>2042</v>
      </c>
      <c r="P24">
        <v>2066</v>
      </c>
      <c r="Q24">
        <v>2090</v>
      </c>
      <c r="R24" t="s">
        <v>72</v>
      </c>
      <c r="S24" t="s">
        <v>55</v>
      </c>
      <c r="T24" t="s">
        <v>57</v>
      </c>
      <c r="U24" t="s">
        <v>51</v>
      </c>
      <c r="Y24" t="s">
        <v>54</v>
      </c>
      <c r="Z24">
        <v>2031</v>
      </c>
      <c r="AA24">
        <v>2047</v>
      </c>
      <c r="AB24">
        <v>2070</v>
      </c>
      <c r="AC24">
        <v>2091</v>
      </c>
      <c r="AD24" t="s">
        <v>34</v>
      </c>
      <c r="AE24" t="s">
        <v>96</v>
      </c>
      <c r="AF24" t="s">
        <v>40</v>
      </c>
      <c r="AG24" t="s">
        <v>115</v>
      </c>
      <c r="AK24" t="s">
        <v>54</v>
      </c>
      <c r="AL24">
        <v>2045</v>
      </c>
      <c r="AM24">
        <v>2062</v>
      </c>
      <c r="AN24">
        <v>2083</v>
      </c>
      <c r="AP24" t="s">
        <v>84</v>
      </c>
      <c r="AQ24" t="s">
        <v>60</v>
      </c>
      <c r="AR24" t="s">
        <v>58</v>
      </c>
      <c r="AW24" t="s">
        <v>54</v>
      </c>
      <c r="AX24">
        <v>2054</v>
      </c>
      <c r="AY24">
        <v>2065</v>
      </c>
      <c r="AZ24">
        <v>2086</v>
      </c>
      <c r="BB24" t="s">
        <v>14</v>
      </c>
      <c r="BC24" t="s">
        <v>35</v>
      </c>
      <c r="BD24" t="s">
        <v>120</v>
      </c>
      <c r="BI24" t="s">
        <v>145</v>
      </c>
      <c r="BJ24">
        <f t="shared" si="3"/>
        <v>2029</v>
      </c>
      <c r="BK24">
        <f t="shared" si="4"/>
        <v>2</v>
      </c>
      <c r="BL24">
        <f t="shared" si="5"/>
        <v>11</v>
      </c>
      <c r="BM24">
        <f t="shared" si="6"/>
        <v>3</v>
      </c>
      <c r="BN24">
        <f t="shared" si="7"/>
        <v>9</v>
      </c>
      <c r="BR24" t="s">
        <v>145</v>
      </c>
      <c r="BS24">
        <f t="shared" si="8"/>
        <v>2042</v>
      </c>
      <c r="BT24">
        <f t="shared" si="9"/>
        <v>5</v>
      </c>
      <c r="BU24">
        <f t="shared" si="10"/>
        <v>8</v>
      </c>
      <c r="BV24">
        <f t="shared" si="11"/>
        <v>7</v>
      </c>
      <c r="BW24">
        <f t="shared" si="12"/>
        <v>3</v>
      </c>
      <c r="CA24" t="s">
        <v>145</v>
      </c>
      <c r="CB24">
        <f t="shared" si="18"/>
        <v>2066</v>
      </c>
      <c r="CC24">
        <f t="shared" si="0"/>
        <v>4</v>
      </c>
      <c r="CD24">
        <f t="shared" si="1"/>
        <v>4</v>
      </c>
      <c r="CE24">
        <f t="shared" si="2"/>
        <v>9</v>
      </c>
      <c r="CF24">
        <f t="shared" si="13"/>
        <v>3</v>
      </c>
      <c r="CJ24" t="s">
        <v>145</v>
      </c>
      <c r="CK24">
        <f t="shared" ref="CK4:CK36" si="19">Q24</f>
        <v>2090</v>
      </c>
      <c r="CL24">
        <f t="shared" si="14"/>
        <v>1</v>
      </c>
      <c r="CM24" t="str">
        <f t="shared" si="15"/>
        <v/>
      </c>
      <c r="CN24" t="str">
        <f t="shared" si="16"/>
        <v/>
      </c>
      <c r="CO24" t="str">
        <f t="shared" si="17"/>
        <v/>
      </c>
    </row>
    <row r="25" spans="1:93" x14ac:dyDescent="0.2">
      <c r="A25" t="s">
        <v>56</v>
      </c>
      <c r="B25">
        <v>2037</v>
      </c>
      <c r="C25">
        <v>2047</v>
      </c>
      <c r="D25">
        <v>2066</v>
      </c>
      <c r="E25">
        <v>2082</v>
      </c>
      <c r="F25" t="s">
        <v>98</v>
      </c>
      <c r="G25" t="s">
        <v>96</v>
      </c>
      <c r="H25" t="s">
        <v>57</v>
      </c>
      <c r="I25" t="s">
        <v>114</v>
      </c>
      <c r="M25" t="s">
        <v>56</v>
      </c>
      <c r="N25">
        <v>2019</v>
      </c>
      <c r="O25">
        <v>2038</v>
      </c>
      <c r="P25">
        <v>2056</v>
      </c>
      <c r="Q25">
        <v>2078</v>
      </c>
      <c r="R25" t="s">
        <v>102</v>
      </c>
      <c r="S25" t="s">
        <v>37</v>
      </c>
      <c r="T25" t="s">
        <v>42</v>
      </c>
      <c r="U25" t="s">
        <v>161</v>
      </c>
      <c r="Y25" t="s">
        <v>56</v>
      </c>
      <c r="Z25">
        <v>2021</v>
      </c>
      <c r="AA25">
        <v>2043</v>
      </c>
      <c r="AB25">
        <v>2059</v>
      </c>
      <c r="AC25">
        <v>2079</v>
      </c>
      <c r="AD25" t="s">
        <v>13</v>
      </c>
      <c r="AE25" t="s">
        <v>49</v>
      </c>
      <c r="AF25" t="s">
        <v>67</v>
      </c>
      <c r="AG25" t="s">
        <v>99</v>
      </c>
      <c r="AK25" t="s">
        <v>56</v>
      </c>
      <c r="AL25">
        <v>2042</v>
      </c>
      <c r="AM25">
        <v>2054</v>
      </c>
      <c r="AN25">
        <v>2069</v>
      </c>
      <c r="AO25">
        <v>2090</v>
      </c>
      <c r="AP25" t="s">
        <v>55</v>
      </c>
      <c r="AQ25" t="s">
        <v>14</v>
      </c>
      <c r="AR25" t="s">
        <v>46</v>
      </c>
      <c r="AS25" t="s">
        <v>51</v>
      </c>
      <c r="AW25" t="s">
        <v>56</v>
      </c>
      <c r="AX25">
        <v>2047</v>
      </c>
      <c r="AY25">
        <v>2055</v>
      </c>
      <c r="AZ25">
        <v>2077</v>
      </c>
      <c r="BB25" t="s">
        <v>96</v>
      </c>
      <c r="BC25" t="s">
        <v>20</v>
      </c>
      <c r="BD25" t="s">
        <v>63</v>
      </c>
      <c r="BI25" t="s">
        <v>146</v>
      </c>
      <c r="BJ25">
        <f t="shared" si="3"/>
        <v>2019</v>
      </c>
      <c r="BK25">
        <f t="shared" si="4"/>
        <v>2</v>
      </c>
      <c r="BL25">
        <f t="shared" si="5"/>
        <v>16</v>
      </c>
      <c r="BM25">
        <f t="shared" si="6"/>
        <v>5</v>
      </c>
      <c r="BN25">
        <f t="shared" si="7"/>
        <v>5</v>
      </c>
      <c r="BR25" t="s">
        <v>146</v>
      </c>
      <c r="BS25">
        <f t="shared" si="8"/>
        <v>2038</v>
      </c>
      <c r="BT25">
        <f t="shared" si="9"/>
        <v>5</v>
      </c>
      <c r="BU25">
        <f t="shared" si="10"/>
        <v>4</v>
      </c>
      <c r="BV25">
        <f t="shared" si="11"/>
        <v>7</v>
      </c>
      <c r="BW25">
        <f t="shared" si="12"/>
        <v>1</v>
      </c>
      <c r="CA25" t="s">
        <v>146</v>
      </c>
      <c r="CB25">
        <f t="shared" si="18"/>
        <v>2056</v>
      </c>
      <c r="CC25">
        <f t="shared" si="0"/>
        <v>3</v>
      </c>
      <c r="CD25">
        <f t="shared" si="1"/>
        <v>7</v>
      </c>
      <c r="CE25">
        <f t="shared" si="2"/>
        <v>3</v>
      </c>
      <c r="CF25">
        <f t="shared" si="13"/>
        <v>8</v>
      </c>
      <c r="CJ25" t="s">
        <v>146</v>
      </c>
      <c r="CK25">
        <f t="shared" si="19"/>
        <v>2078</v>
      </c>
      <c r="CL25">
        <f t="shared" si="14"/>
        <v>1</v>
      </c>
      <c r="CM25">
        <f t="shared" si="15"/>
        <v>3</v>
      </c>
      <c r="CN25">
        <f t="shared" si="16"/>
        <v>8</v>
      </c>
      <c r="CO25" t="str">
        <f t="shared" si="17"/>
        <v/>
      </c>
    </row>
    <row r="26" spans="1:93" x14ac:dyDescent="0.2">
      <c r="A26" t="s">
        <v>59</v>
      </c>
      <c r="B26">
        <v>2032</v>
      </c>
      <c r="C26">
        <v>2045</v>
      </c>
      <c r="D26">
        <v>2061</v>
      </c>
      <c r="E26">
        <v>2077</v>
      </c>
      <c r="F26" t="s">
        <v>31</v>
      </c>
      <c r="G26" t="s">
        <v>84</v>
      </c>
      <c r="H26" t="s">
        <v>29</v>
      </c>
      <c r="I26" t="s">
        <v>63</v>
      </c>
      <c r="M26" t="s">
        <v>59</v>
      </c>
      <c r="N26">
        <v>2020</v>
      </c>
      <c r="O26">
        <v>2032</v>
      </c>
      <c r="P26">
        <v>2054</v>
      </c>
      <c r="Q26">
        <v>2072</v>
      </c>
      <c r="R26" t="s">
        <v>93</v>
      </c>
      <c r="S26" t="s">
        <v>31</v>
      </c>
      <c r="T26" t="s">
        <v>14</v>
      </c>
      <c r="U26" t="s">
        <v>105</v>
      </c>
      <c r="Y26" t="s">
        <v>59</v>
      </c>
      <c r="Z26">
        <v>2024</v>
      </c>
      <c r="AA26">
        <v>2038</v>
      </c>
      <c r="AB26">
        <v>2056</v>
      </c>
      <c r="AC26">
        <v>2073</v>
      </c>
      <c r="AD26" t="s">
        <v>90</v>
      </c>
      <c r="AE26" t="s">
        <v>37</v>
      </c>
      <c r="AF26" t="s">
        <v>42</v>
      </c>
      <c r="AG26" t="s">
        <v>38</v>
      </c>
      <c r="AK26" t="s">
        <v>59</v>
      </c>
      <c r="AL26">
        <v>2038</v>
      </c>
      <c r="AM26">
        <v>2053</v>
      </c>
      <c r="AN26">
        <v>2066</v>
      </c>
      <c r="AO26">
        <v>2084</v>
      </c>
      <c r="AP26" t="s">
        <v>37</v>
      </c>
      <c r="AQ26" t="s">
        <v>85</v>
      </c>
      <c r="AR26" t="s">
        <v>57</v>
      </c>
      <c r="AS26" t="s">
        <v>103</v>
      </c>
      <c r="AW26" t="s">
        <v>59</v>
      </c>
      <c r="AX26">
        <v>2043</v>
      </c>
      <c r="AY26">
        <v>2054</v>
      </c>
      <c r="AZ26">
        <v>2070</v>
      </c>
      <c r="BA26">
        <v>2087</v>
      </c>
      <c r="BB26" t="s">
        <v>49</v>
      </c>
      <c r="BC26" t="s">
        <v>14</v>
      </c>
      <c r="BD26" t="s">
        <v>40</v>
      </c>
      <c r="BE26" t="s">
        <v>70</v>
      </c>
      <c r="BI26" t="s">
        <v>147</v>
      </c>
      <c r="BJ26">
        <f t="shared" si="3"/>
        <v>2020</v>
      </c>
      <c r="BK26">
        <f t="shared" si="4"/>
        <v>4</v>
      </c>
      <c r="BL26">
        <f t="shared" si="5"/>
        <v>8</v>
      </c>
      <c r="BM26">
        <f t="shared" si="6"/>
        <v>6</v>
      </c>
      <c r="BN26">
        <f t="shared" si="7"/>
        <v>5</v>
      </c>
      <c r="BR26" t="s">
        <v>147</v>
      </c>
      <c r="BS26">
        <f t="shared" si="8"/>
        <v>2032</v>
      </c>
      <c r="BT26">
        <f t="shared" si="9"/>
        <v>6</v>
      </c>
      <c r="BU26">
        <f t="shared" si="10"/>
        <v>7</v>
      </c>
      <c r="BV26">
        <f t="shared" si="11"/>
        <v>8</v>
      </c>
      <c r="BW26">
        <f t="shared" si="12"/>
        <v>1</v>
      </c>
      <c r="CA26" t="s">
        <v>147</v>
      </c>
      <c r="CB26">
        <f t="shared" si="18"/>
        <v>2054</v>
      </c>
      <c r="CC26">
        <f t="shared" si="0"/>
        <v>2</v>
      </c>
      <c r="CD26">
        <f t="shared" si="1"/>
        <v>5</v>
      </c>
      <c r="CE26">
        <f t="shared" si="2"/>
        <v>5</v>
      </c>
      <c r="CF26">
        <f t="shared" si="13"/>
        <v>4</v>
      </c>
      <c r="CJ26" t="s">
        <v>147</v>
      </c>
      <c r="CK26">
        <f t="shared" si="19"/>
        <v>2072</v>
      </c>
      <c r="CL26">
        <f t="shared" si="14"/>
        <v>1</v>
      </c>
      <c r="CM26">
        <f t="shared" si="15"/>
        <v>4</v>
      </c>
      <c r="CN26">
        <f t="shared" si="16"/>
        <v>7</v>
      </c>
      <c r="CO26">
        <f t="shared" si="17"/>
        <v>3</v>
      </c>
    </row>
    <row r="27" spans="1:93" x14ac:dyDescent="0.2">
      <c r="A27" t="s">
        <v>62</v>
      </c>
      <c r="B27">
        <v>2041</v>
      </c>
      <c r="C27">
        <v>2053</v>
      </c>
      <c r="D27">
        <v>2076</v>
      </c>
      <c r="E27">
        <v>2089</v>
      </c>
      <c r="F27" t="s">
        <v>45</v>
      </c>
      <c r="G27" t="s">
        <v>85</v>
      </c>
      <c r="H27" t="s">
        <v>21</v>
      </c>
      <c r="I27" t="s">
        <v>109</v>
      </c>
      <c r="M27" t="s">
        <v>62</v>
      </c>
      <c r="N27">
        <v>2026</v>
      </c>
      <c r="O27">
        <v>2041</v>
      </c>
      <c r="P27">
        <v>2067</v>
      </c>
      <c r="Q27">
        <v>2085</v>
      </c>
      <c r="R27" t="s">
        <v>17</v>
      </c>
      <c r="S27" t="s">
        <v>45</v>
      </c>
      <c r="T27" t="s">
        <v>80</v>
      </c>
      <c r="U27" t="s">
        <v>107</v>
      </c>
      <c r="Y27" t="s">
        <v>62</v>
      </c>
      <c r="Z27">
        <v>2030</v>
      </c>
      <c r="AA27">
        <v>2043</v>
      </c>
      <c r="AB27">
        <v>2073</v>
      </c>
      <c r="AC27">
        <v>2085</v>
      </c>
      <c r="AD27" t="s">
        <v>69</v>
      </c>
      <c r="AE27" t="s">
        <v>49</v>
      </c>
      <c r="AF27" t="s">
        <v>38</v>
      </c>
      <c r="AG27" t="s">
        <v>107</v>
      </c>
      <c r="AK27" t="s">
        <v>62</v>
      </c>
      <c r="AL27">
        <v>2042</v>
      </c>
      <c r="AM27">
        <v>2060</v>
      </c>
      <c r="AN27">
        <v>2081</v>
      </c>
      <c r="AP27" t="s">
        <v>55</v>
      </c>
      <c r="AQ27" t="s">
        <v>101</v>
      </c>
      <c r="AR27" t="s">
        <v>88</v>
      </c>
      <c r="AW27" t="s">
        <v>62</v>
      </c>
      <c r="AX27">
        <v>2048</v>
      </c>
      <c r="AY27">
        <v>2066</v>
      </c>
      <c r="AZ27">
        <v>2084</v>
      </c>
      <c r="BB27" t="s">
        <v>110</v>
      </c>
      <c r="BC27" t="s">
        <v>57</v>
      </c>
      <c r="BD27" t="s">
        <v>103</v>
      </c>
      <c r="BI27" t="s">
        <v>148</v>
      </c>
      <c r="BJ27">
        <f t="shared" si="3"/>
        <v>2026</v>
      </c>
      <c r="BK27">
        <f t="shared" si="4"/>
        <v>4</v>
      </c>
      <c r="BL27">
        <f t="shared" si="5"/>
        <v>11</v>
      </c>
      <c r="BM27">
        <f t="shared" si="6"/>
        <v>1</v>
      </c>
      <c r="BN27">
        <f t="shared" si="7"/>
        <v>6</v>
      </c>
      <c r="BR27" t="s">
        <v>148</v>
      </c>
      <c r="BS27">
        <f t="shared" si="8"/>
        <v>2041</v>
      </c>
      <c r="BT27">
        <f t="shared" si="9"/>
        <v>2</v>
      </c>
      <c r="BU27">
        <f t="shared" si="10"/>
        <v>10</v>
      </c>
      <c r="BV27">
        <f t="shared" si="11"/>
        <v>7</v>
      </c>
      <c r="BW27">
        <f t="shared" si="12"/>
        <v>6</v>
      </c>
      <c r="CA27" t="s">
        <v>148</v>
      </c>
      <c r="CB27">
        <f t="shared" si="18"/>
        <v>2067</v>
      </c>
      <c r="CC27">
        <f t="shared" si="0"/>
        <v>6</v>
      </c>
      <c r="CD27">
        <f t="shared" si="1"/>
        <v>3</v>
      </c>
      <c r="CE27">
        <f t="shared" si="2"/>
        <v>5</v>
      </c>
      <c r="CF27">
        <f t="shared" si="13"/>
        <v>3</v>
      </c>
      <c r="CJ27" t="s">
        <v>148</v>
      </c>
      <c r="CK27">
        <f t="shared" si="19"/>
        <v>2085</v>
      </c>
      <c r="CL27" t="str">
        <f t="shared" si="14"/>
        <v/>
      </c>
      <c r="CM27">
        <f t="shared" si="15"/>
        <v>4</v>
      </c>
      <c r="CN27" t="str">
        <f t="shared" si="16"/>
        <v/>
      </c>
      <c r="CO27" t="str">
        <f t="shared" si="17"/>
        <v/>
      </c>
    </row>
    <row r="28" spans="1:93" x14ac:dyDescent="0.2">
      <c r="A28" t="s">
        <v>64</v>
      </c>
      <c r="B28">
        <v>2028</v>
      </c>
      <c r="C28">
        <v>2040</v>
      </c>
      <c r="D28">
        <v>2059</v>
      </c>
      <c r="E28">
        <v>2076</v>
      </c>
      <c r="F28" t="s">
        <v>65</v>
      </c>
      <c r="G28" t="s">
        <v>66</v>
      </c>
      <c r="H28" t="s">
        <v>67</v>
      </c>
      <c r="I28" t="s">
        <v>21</v>
      </c>
      <c r="M28" t="s">
        <v>64</v>
      </c>
      <c r="N28">
        <v>2015</v>
      </c>
      <c r="O28">
        <v>2028</v>
      </c>
      <c r="P28">
        <v>2044</v>
      </c>
      <c r="Q28">
        <v>2073</v>
      </c>
      <c r="R28" t="s">
        <v>100</v>
      </c>
      <c r="S28" t="s">
        <v>65</v>
      </c>
      <c r="T28" t="s">
        <v>104</v>
      </c>
      <c r="U28" t="s">
        <v>38</v>
      </c>
      <c r="Y28" t="s">
        <v>64</v>
      </c>
      <c r="Z28">
        <v>2023</v>
      </c>
      <c r="AA28">
        <v>2032</v>
      </c>
      <c r="AB28">
        <v>2051</v>
      </c>
      <c r="AC28">
        <v>2074</v>
      </c>
      <c r="AD28" t="s">
        <v>79</v>
      </c>
      <c r="AE28" t="s">
        <v>31</v>
      </c>
      <c r="AF28" t="s">
        <v>74</v>
      </c>
      <c r="AG28" t="s">
        <v>119</v>
      </c>
      <c r="AK28" t="s">
        <v>64</v>
      </c>
      <c r="AL28">
        <v>2032</v>
      </c>
      <c r="AM28">
        <v>2042</v>
      </c>
      <c r="AN28">
        <v>2067</v>
      </c>
      <c r="AO28">
        <v>2082</v>
      </c>
      <c r="AP28" t="s">
        <v>31</v>
      </c>
      <c r="AQ28" t="s">
        <v>55</v>
      </c>
      <c r="AR28" t="s">
        <v>80</v>
      </c>
      <c r="AS28" t="s">
        <v>114</v>
      </c>
      <c r="AW28" t="s">
        <v>64</v>
      </c>
      <c r="AX28">
        <v>2037</v>
      </c>
      <c r="AY28">
        <v>2044</v>
      </c>
      <c r="AZ28">
        <v>2072</v>
      </c>
      <c r="BA28">
        <v>2084</v>
      </c>
      <c r="BB28" t="s">
        <v>98</v>
      </c>
      <c r="BC28" t="s">
        <v>104</v>
      </c>
      <c r="BD28" t="s">
        <v>105</v>
      </c>
      <c r="BE28" t="s">
        <v>103</v>
      </c>
      <c r="BI28" t="s">
        <v>149</v>
      </c>
      <c r="BJ28">
        <f t="shared" si="3"/>
        <v>2015</v>
      </c>
      <c r="BK28">
        <f t="shared" si="4"/>
        <v>8</v>
      </c>
      <c r="BL28">
        <f t="shared" si="5"/>
        <v>5</v>
      </c>
      <c r="BM28">
        <f t="shared" si="6"/>
        <v>4</v>
      </c>
      <c r="BN28">
        <f t="shared" si="7"/>
        <v>5</v>
      </c>
      <c r="BR28" t="s">
        <v>149</v>
      </c>
      <c r="BS28">
        <f t="shared" si="8"/>
        <v>2028</v>
      </c>
      <c r="BT28">
        <f t="shared" si="9"/>
        <v>4</v>
      </c>
      <c r="BU28">
        <f t="shared" si="10"/>
        <v>8</v>
      </c>
      <c r="BV28">
        <f t="shared" si="11"/>
        <v>2</v>
      </c>
      <c r="BW28">
        <f t="shared" si="12"/>
        <v>2</v>
      </c>
      <c r="CA28" t="s">
        <v>149</v>
      </c>
      <c r="CB28">
        <f t="shared" si="18"/>
        <v>2044</v>
      </c>
      <c r="CC28">
        <f t="shared" si="0"/>
        <v>7</v>
      </c>
      <c r="CD28">
        <f t="shared" si="1"/>
        <v>8</v>
      </c>
      <c r="CE28">
        <f t="shared" si="2"/>
        <v>8</v>
      </c>
      <c r="CF28">
        <f t="shared" si="13"/>
        <v>5</v>
      </c>
      <c r="CJ28" t="s">
        <v>149</v>
      </c>
      <c r="CK28">
        <f t="shared" si="19"/>
        <v>2073</v>
      </c>
      <c r="CL28">
        <f t="shared" si="14"/>
        <v>1</v>
      </c>
      <c r="CM28">
        <f t="shared" si="15"/>
        <v>2</v>
      </c>
      <c r="CN28">
        <f t="shared" si="16"/>
        <v>6</v>
      </c>
      <c r="CO28">
        <f t="shared" si="17"/>
        <v>2</v>
      </c>
    </row>
    <row r="29" spans="1:93" x14ac:dyDescent="0.2">
      <c r="A29" t="s">
        <v>68</v>
      </c>
      <c r="B29">
        <v>2030</v>
      </c>
      <c r="C29">
        <v>2058</v>
      </c>
      <c r="D29">
        <v>2073</v>
      </c>
      <c r="E29">
        <v>2083</v>
      </c>
      <c r="F29" t="s">
        <v>69</v>
      </c>
      <c r="G29" t="s">
        <v>24</v>
      </c>
      <c r="H29" t="s">
        <v>38</v>
      </c>
      <c r="I29" t="s">
        <v>58</v>
      </c>
      <c r="M29" t="s">
        <v>68</v>
      </c>
      <c r="N29">
        <v>2017</v>
      </c>
      <c r="O29">
        <v>2030</v>
      </c>
      <c r="P29">
        <v>2066</v>
      </c>
      <c r="Q29">
        <v>2082</v>
      </c>
      <c r="R29" t="s">
        <v>94</v>
      </c>
      <c r="S29" t="s">
        <v>69</v>
      </c>
      <c r="T29" t="s">
        <v>57</v>
      </c>
      <c r="U29" t="s">
        <v>114</v>
      </c>
      <c r="Y29" t="s">
        <v>68</v>
      </c>
      <c r="Z29">
        <v>2020</v>
      </c>
      <c r="AA29">
        <v>2044</v>
      </c>
      <c r="AB29">
        <v>2069</v>
      </c>
      <c r="AC29">
        <v>2082</v>
      </c>
      <c r="AD29" t="s">
        <v>93</v>
      </c>
      <c r="AE29" t="s">
        <v>104</v>
      </c>
      <c r="AF29" t="s">
        <v>46</v>
      </c>
      <c r="AG29" t="s">
        <v>114</v>
      </c>
      <c r="AK29" t="s">
        <v>68</v>
      </c>
      <c r="AL29">
        <v>2035</v>
      </c>
      <c r="AM29">
        <v>2064</v>
      </c>
      <c r="AN29">
        <v>2076</v>
      </c>
      <c r="AP29" t="s">
        <v>76</v>
      </c>
      <c r="AQ29" t="s">
        <v>108</v>
      </c>
      <c r="AR29" t="s">
        <v>21</v>
      </c>
      <c r="AW29" t="s">
        <v>68</v>
      </c>
      <c r="AX29">
        <v>2057</v>
      </c>
      <c r="AY29">
        <v>2066</v>
      </c>
      <c r="AZ29">
        <v>2080</v>
      </c>
      <c r="BB29" t="s">
        <v>27</v>
      </c>
      <c r="BC29" t="s">
        <v>57</v>
      </c>
      <c r="BD29" t="s">
        <v>61</v>
      </c>
      <c r="BI29" t="s">
        <v>150</v>
      </c>
      <c r="BJ29">
        <f t="shared" si="3"/>
        <v>2017</v>
      </c>
      <c r="BK29">
        <f t="shared" si="4"/>
        <v>3</v>
      </c>
      <c r="BL29">
        <f t="shared" si="5"/>
        <v>10</v>
      </c>
      <c r="BM29">
        <f t="shared" si="6"/>
        <v>5</v>
      </c>
      <c r="BN29">
        <f t="shared" si="7"/>
        <v>22</v>
      </c>
      <c r="BR29" t="s">
        <v>150</v>
      </c>
      <c r="BS29">
        <f t="shared" si="8"/>
        <v>2030</v>
      </c>
      <c r="BT29">
        <f t="shared" si="9"/>
        <v>14</v>
      </c>
      <c r="BU29">
        <f t="shared" si="10"/>
        <v>14</v>
      </c>
      <c r="BV29">
        <f t="shared" si="11"/>
        <v>6</v>
      </c>
      <c r="BW29">
        <f t="shared" si="12"/>
        <v>2</v>
      </c>
      <c r="CA29" t="s">
        <v>150</v>
      </c>
      <c r="CB29">
        <f t="shared" si="18"/>
        <v>2066</v>
      </c>
      <c r="CC29">
        <f t="shared" si="0"/>
        <v>3</v>
      </c>
      <c r="CD29">
        <f t="shared" si="1"/>
        <v>4</v>
      </c>
      <c r="CE29">
        <f t="shared" si="2"/>
        <v>3</v>
      </c>
      <c r="CF29">
        <f t="shared" si="13"/>
        <v>4</v>
      </c>
      <c r="CJ29" t="s">
        <v>150</v>
      </c>
      <c r="CK29">
        <f t="shared" si="19"/>
        <v>2082</v>
      </c>
      <c r="CL29" t="str">
        <f t="shared" si="14"/>
        <v/>
      </c>
      <c r="CM29">
        <f t="shared" si="15"/>
        <v>1</v>
      </c>
      <c r="CN29" t="str">
        <f t="shared" si="16"/>
        <v/>
      </c>
      <c r="CO29" t="str">
        <f t="shared" si="17"/>
        <v/>
      </c>
    </row>
    <row r="30" spans="1:93" x14ac:dyDescent="0.2">
      <c r="A30" t="s">
        <v>71</v>
      </c>
      <c r="B30">
        <v>2029</v>
      </c>
      <c r="C30">
        <v>2052</v>
      </c>
      <c r="D30">
        <v>2077</v>
      </c>
      <c r="F30" t="s">
        <v>72</v>
      </c>
      <c r="G30" t="s">
        <v>32</v>
      </c>
      <c r="H30" t="s">
        <v>63</v>
      </c>
      <c r="M30" t="s">
        <v>71</v>
      </c>
      <c r="N30">
        <v>2017</v>
      </c>
      <c r="O30">
        <v>2030</v>
      </c>
      <c r="P30">
        <v>2067</v>
      </c>
      <c r="Q30">
        <v>2086</v>
      </c>
      <c r="R30" t="s">
        <v>94</v>
      </c>
      <c r="S30" t="s">
        <v>69</v>
      </c>
      <c r="T30" t="s">
        <v>80</v>
      </c>
      <c r="U30" t="s">
        <v>120</v>
      </c>
      <c r="Y30" t="s">
        <v>71</v>
      </c>
      <c r="Z30">
        <v>2019</v>
      </c>
      <c r="AA30">
        <v>2041</v>
      </c>
      <c r="AB30">
        <v>2070</v>
      </c>
      <c r="AC30">
        <v>2086</v>
      </c>
      <c r="AD30" t="s">
        <v>102</v>
      </c>
      <c r="AE30" t="s">
        <v>45</v>
      </c>
      <c r="AF30" t="s">
        <v>40</v>
      </c>
      <c r="AG30" t="s">
        <v>120</v>
      </c>
      <c r="AK30" t="s">
        <v>71</v>
      </c>
      <c r="AL30">
        <v>2033</v>
      </c>
      <c r="AM30">
        <v>2060</v>
      </c>
      <c r="AN30">
        <v>2081</v>
      </c>
      <c r="AP30" t="s">
        <v>89</v>
      </c>
      <c r="AQ30" t="s">
        <v>101</v>
      </c>
      <c r="AR30" t="s">
        <v>88</v>
      </c>
      <c r="AW30" t="s">
        <v>71</v>
      </c>
      <c r="AX30">
        <v>2045</v>
      </c>
      <c r="AY30">
        <v>2067</v>
      </c>
      <c r="AZ30">
        <v>2085</v>
      </c>
      <c r="BB30" t="s">
        <v>84</v>
      </c>
      <c r="BC30" t="s">
        <v>80</v>
      </c>
      <c r="BD30" t="s">
        <v>107</v>
      </c>
      <c r="BI30" t="s">
        <v>151</v>
      </c>
      <c r="BJ30">
        <f t="shared" si="3"/>
        <v>2017</v>
      </c>
      <c r="BK30">
        <f t="shared" si="4"/>
        <v>2</v>
      </c>
      <c r="BL30">
        <f t="shared" si="5"/>
        <v>10</v>
      </c>
      <c r="BM30">
        <f t="shared" si="6"/>
        <v>4</v>
      </c>
      <c r="BN30">
        <f t="shared" si="7"/>
        <v>12</v>
      </c>
      <c r="BR30" t="s">
        <v>151</v>
      </c>
      <c r="BS30">
        <f t="shared" si="8"/>
        <v>2030</v>
      </c>
      <c r="BT30">
        <f t="shared" si="9"/>
        <v>11</v>
      </c>
      <c r="BU30">
        <f t="shared" si="10"/>
        <v>11</v>
      </c>
      <c r="BV30">
        <f t="shared" si="11"/>
        <v>8</v>
      </c>
      <c r="BW30">
        <f t="shared" si="12"/>
        <v>7</v>
      </c>
      <c r="CA30" t="s">
        <v>151</v>
      </c>
      <c r="CB30">
        <f t="shared" si="18"/>
        <v>2067</v>
      </c>
      <c r="CC30">
        <f t="shared" si="0"/>
        <v>3</v>
      </c>
      <c r="CD30">
        <f t="shared" si="1"/>
        <v>7</v>
      </c>
      <c r="CE30">
        <f t="shared" si="2"/>
        <v>4</v>
      </c>
      <c r="CF30">
        <f t="shared" si="13"/>
        <v>4</v>
      </c>
      <c r="CJ30" t="s">
        <v>151</v>
      </c>
      <c r="CK30">
        <f t="shared" si="19"/>
        <v>2086</v>
      </c>
      <c r="CL30" t="str">
        <f t="shared" si="14"/>
        <v/>
      </c>
      <c r="CM30" t="str">
        <f t="shared" si="15"/>
        <v/>
      </c>
      <c r="CN30" t="str">
        <f t="shared" si="16"/>
        <v/>
      </c>
      <c r="CO30" t="str">
        <f t="shared" si="17"/>
        <v/>
      </c>
    </row>
    <row r="31" spans="1:93" x14ac:dyDescent="0.2">
      <c r="A31" t="s">
        <v>73</v>
      </c>
      <c r="B31">
        <v>2051</v>
      </c>
      <c r="C31">
        <v>2058</v>
      </c>
      <c r="D31">
        <v>2072</v>
      </c>
      <c r="F31" t="s">
        <v>74</v>
      </c>
      <c r="G31" t="s">
        <v>24</v>
      </c>
      <c r="H31" t="s">
        <v>105</v>
      </c>
      <c r="M31" t="s">
        <v>73</v>
      </c>
      <c r="N31">
        <v>2013</v>
      </c>
      <c r="O31">
        <v>2051</v>
      </c>
      <c r="P31">
        <v>2064</v>
      </c>
      <c r="Q31">
        <v>2091</v>
      </c>
      <c r="R31" t="s">
        <v>92</v>
      </c>
      <c r="S31" t="s">
        <v>74</v>
      </c>
      <c r="T31" t="s">
        <v>108</v>
      </c>
      <c r="U31" t="s">
        <v>115</v>
      </c>
      <c r="Y31" t="s">
        <v>73</v>
      </c>
      <c r="Z31">
        <v>2014</v>
      </c>
      <c r="AA31">
        <v>2053</v>
      </c>
      <c r="AB31">
        <v>2067</v>
      </c>
      <c r="AD31" t="s">
        <v>97</v>
      </c>
      <c r="AE31" t="s">
        <v>85</v>
      </c>
      <c r="AF31" t="s">
        <v>80</v>
      </c>
      <c r="AK31" t="s">
        <v>73</v>
      </c>
      <c r="AL31">
        <v>2053</v>
      </c>
      <c r="AM31">
        <v>2063</v>
      </c>
      <c r="AN31">
        <v>2079</v>
      </c>
      <c r="AP31" t="s">
        <v>85</v>
      </c>
      <c r="AQ31" t="s">
        <v>111</v>
      </c>
      <c r="AR31" t="s">
        <v>99</v>
      </c>
      <c r="AW31" t="s">
        <v>73</v>
      </c>
      <c r="AX31">
        <v>2057</v>
      </c>
      <c r="AY31">
        <v>2063</v>
      </c>
      <c r="AZ31">
        <v>2089</v>
      </c>
      <c r="BB31" t="s">
        <v>27</v>
      </c>
      <c r="BC31" t="s">
        <v>111</v>
      </c>
      <c r="BD31" t="s">
        <v>109</v>
      </c>
      <c r="BI31" t="s">
        <v>152</v>
      </c>
      <c r="BJ31">
        <f t="shared" si="3"/>
        <v>2013</v>
      </c>
      <c r="BK31">
        <f t="shared" si="4"/>
        <v>1</v>
      </c>
      <c r="BL31">
        <f t="shared" si="5"/>
        <v>37</v>
      </c>
      <c r="BM31">
        <f t="shared" si="6"/>
        <v>2</v>
      </c>
      <c r="BN31">
        <f t="shared" si="7"/>
        <v>4</v>
      </c>
      <c r="BR31" t="s">
        <v>152</v>
      </c>
      <c r="BS31">
        <f t="shared" si="8"/>
        <v>2051</v>
      </c>
      <c r="BT31">
        <f t="shared" si="9"/>
        <v>2</v>
      </c>
      <c r="BU31">
        <f t="shared" si="10"/>
        <v>5</v>
      </c>
      <c r="BV31">
        <f t="shared" si="11"/>
        <v>5</v>
      </c>
      <c r="BW31" t="str">
        <f t="shared" si="12"/>
        <v/>
      </c>
      <c r="CA31" t="s">
        <v>152</v>
      </c>
      <c r="CB31">
        <f t="shared" si="18"/>
        <v>2064</v>
      </c>
      <c r="CC31">
        <f t="shared" si="0"/>
        <v>3</v>
      </c>
      <c r="CD31">
        <f t="shared" si="1"/>
        <v>5</v>
      </c>
      <c r="CE31">
        <f t="shared" si="2"/>
        <v>7</v>
      </c>
      <c r="CF31">
        <f t="shared" si="13"/>
        <v>10</v>
      </c>
      <c r="CJ31" t="s">
        <v>152</v>
      </c>
      <c r="CK31">
        <f t="shared" si="19"/>
        <v>2091</v>
      </c>
      <c r="CL31" t="str">
        <f t="shared" si="14"/>
        <v/>
      </c>
      <c r="CM31" t="str">
        <f t="shared" si="15"/>
        <v/>
      </c>
      <c r="CN31" t="str">
        <f t="shared" si="16"/>
        <v/>
      </c>
      <c r="CO31" t="str">
        <f t="shared" si="17"/>
        <v/>
      </c>
    </row>
    <row r="32" spans="1:93" x14ac:dyDescent="0.2">
      <c r="A32" t="s">
        <v>75</v>
      </c>
      <c r="B32">
        <v>2035</v>
      </c>
      <c r="C32">
        <v>2042</v>
      </c>
      <c r="D32">
        <v>2057</v>
      </c>
      <c r="E32">
        <v>2068</v>
      </c>
      <c r="F32" t="s">
        <v>76</v>
      </c>
      <c r="G32" t="s">
        <v>55</v>
      </c>
      <c r="H32" t="s">
        <v>27</v>
      </c>
      <c r="I32" t="s">
        <v>87</v>
      </c>
      <c r="M32" t="s">
        <v>75</v>
      </c>
      <c r="N32">
        <v>2014</v>
      </c>
      <c r="O32">
        <v>2035</v>
      </c>
      <c r="P32">
        <v>2049</v>
      </c>
      <c r="Q32">
        <v>2065</v>
      </c>
      <c r="R32" t="s">
        <v>97</v>
      </c>
      <c r="S32" t="s">
        <v>76</v>
      </c>
      <c r="T32" t="s">
        <v>23</v>
      </c>
      <c r="U32" t="s">
        <v>35</v>
      </c>
      <c r="Y32" t="s">
        <v>75</v>
      </c>
      <c r="Z32">
        <v>2016</v>
      </c>
      <c r="AA32">
        <v>2040</v>
      </c>
      <c r="AB32">
        <v>2052</v>
      </c>
      <c r="AC32">
        <v>2066</v>
      </c>
      <c r="AD32" t="s">
        <v>106</v>
      </c>
      <c r="AE32" t="s">
        <v>66</v>
      </c>
      <c r="AF32" t="s">
        <v>32</v>
      </c>
      <c r="AG32" t="s">
        <v>57</v>
      </c>
      <c r="AK32" t="s">
        <v>75</v>
      </c>
      <c r="AL32">
        <v>2037</v>
      </c>
      <c r="AM32">
        <v>2048</v>
      </c>
      <c r="AN32">
        <v>2059</v>
      </c>
      <c r="AO32">
        <v>2074</v>
      </c>
      <c r="AP32" t="s">
        <v>98</v>
      </c>
      <c r="AQ32" t="s">
        <v>110</v>
      </c>
      <c r="AR32" t="s">
        <v>67</v>
      </c>
      <c r="AS32" t="s">
        <v>119</v>
      </c>
      <c r="AW32" t="s">
        <v>75</v>
      </c>
      <c r="AX32">
        <v>2042</v>
      </c>
      <c r="AY32">
        <v>2048</v>
      </c>
      <c r="AZ32">
        <v>2064</v>
      </c>
      <c r="BA32">
        <v>2077</v>
      </c>
      <c r="BB32" t="s">
        <v>55</v>
      </c>
      <c r="BC32" t="s">
        <v>110</v>
      </c>
      <c r="BD32" t="s">
        <v>108</v>
      </c>
      <c r="BE32" t="s">
        <v>63</v>
      </c>
      <c r="BI32" t="s">
        <v>153</v>
      </c>
      <c r="BJ32">
        <f t="shared" si="3"/>
        <v>2014</v>
      </c>
      <c r="BK32">
        <f t="shared" si="4"/>
        <v>2</v>
      </c>
      <c r="BL32">
        <f t="shared" si="5"/>
        <v>19</v>
      </c>
      <c r="BM32">
        <f t="shared" si="6"/>
        <v>2</v>
      </c>
      <c r="BN32">
        <f t="shared" si="7"/>
        <v>5</v>
      </c>
      <c r="BR32" t="s">
        <v>153</v>
      </c>
      <c r="BS32">
        <f t="shared" si="8"/>
        <v>2035</v>
      </c>
      <c r="BT32">
        <f t="shared" si="9"/>
        <v>5</v>
      </c>
      <c r="BU32">
        <f t="shared" si="10"/>
        <v>2</v>
      </c>
      <c r="BV32">
        <f t="shared" si="11"/>
        <v>6</v>
      </c>
      <c r="BW32" t="str">
        <f t="shared" si="12"/>
        <v/>
      </c>
      <c r="CA32" t="s">
        <v>153</v>
      </c>
      <c r="CB32">
        <f t="shared" si="18"/>
        <v>2049</v>
      </c>
      <c r="CC32">
        <f t="shared" si="0"/>
        <v>3</v>
      </c>
      <c r="CD32">
        <f t="shared" si="1"/>
        <v>5</v>
      </c>
      <c r="CE32">
        <f t="shared" si="2"/>
        <v>2</v>
      </c>
      <c r="CF32">
        <f t="shared" si="13"/>
        <v>5</v>
      </c>
      <c r="CJ32" t="s">
        <v>153</v>
      </c>
      <c r="CK32">
        <f t="shared" si="19"/>
        <v>2065</v>
      </c>
      <c r="CL32">
        <f t="shared" si="14"/>
        <v>1</v>
      </c>
      <c r="CM32">
        <f t="shared" si="15"/>
        <v>2</v>
      </c>
      <c r="CN32">
        <f t="shared" si="16"/>
        <v>6</v>
      </c>
      <c r="CO32">
        <f t="shared" si="17"/>
        <v>3</v>
      </c>
    </row>
    <row r="33" spans="1:93" x14ac:dyDescent="0.2">
      <c r="A33" t="s">
        <v>78</v>
      </c>
      <c r="B33">
        <v>2019</v>
      </c>
      <c r="C33">
        <v>2033</v>
      </c>
      <c r="D33">
        <v>2055</v>
      </c>
      <c r="E33">
        <v>2066</v>
      </c>
      <c r="F33" t="s">
        <v>102</v>
      </c>
      <c r="G33" t="s">
        <v>89</v>
      </c>
      <c r="H33" t="s">
        <v>20</v>
      </c>
      <c r="I33" t="s">
        <v>57</v>
      </c>
      <c r="M33" t="s">
        <v>78</v>
      </c>
      <c r="N33">
        <v>2013</v>
      </c>
      <c r="O33">
        <v>2023</v>
      </c>
      <c r="P33">
        <v>2044</v>
      </c>
      <c r="Q33">
        <v>2062</v>
      </c>
      <c r="R33" t="s">
        <v>92</v>
      </c>
      <c r="S33" t="s">
        <v>79</v>
      </c>
      <c r="T33" t="s">
        <v>104</v>
      </c>
      <c r="U33" t="s">
        <v>60</v>
      </c>
      <c r="Y33" t="s">
        <v>78</v>
      </c>
      <c r="Z33">
        <v>2015</v>
      </c>
      <c r="AA33">
        <v>2025</v>
      </c>
      <c r="AB33">
        <v>2050</v>
      </c>
      <c r="AC33">
        <v>2065</v>
      </c>
      <c r="AD33" t="s">
        <v>100</v>
      </c>
      <c r="AE33" t="s">
        <v>44</v>
      </c>
      <c r="AF33" t="s">
        <v>8</v>
      </c>
      <c r="AG33" t="s">
        <v>35</v>
      </c>
      <c r="AK33" t="s">
        <v>78</v>
      </c>
      <c r="AL33">
        <v>2025</v>
      </c>
      <c r="AM33">
        <v>2044</v>
      </c>
      <c r="AN33">
        <v>2059</v>
      </c>
      <c r="AO33">
        <v>2074</v>
      </c>
      <c r="AP33" t="s">
        <v>44</v>
      </c>
      <c r="AQ33" t="s">
        <v>104</v>
      </c>
      <c r="AR33" t="s">
        <v>67</v>
      </c>
      <c r="AS33" t="s">
        <v>119</v>
      </c>
      <c r="AW33" t="s">
        <v>78</v>
      </c>
      <c r="AX33">
        <v>2032</v>
      </c>
      <c r="AY33">
        <v>2044</v>
      </c>
      <c r="AZ33">
        <v>2062</v>
      </c>
      <c r="BA33">
        <v>2076</v>
      </c>
      <c r="BB33" t="s">
        <v>31</v>
      </c>
      <c r="BC33" t="s">
        <v>104</v>
      </c>
      <c r="BD33" t="s">
        <v>60</v>
      </c>
      <c r="BE33" t="s">
        <v>21</v>
      </c>
      <c r="BI33" t="s">
        <v>154</v>
      </c>
      <c r="BJ33">
        <f t="shared" si="3"/>
        <v>2013</v>
      </c>
      <c r="BK33">
        <f t="shared" si="4"/>
        <v>2</v>
      </c>
      <c r="BL33">
        <f t="shared" si="5"/>
        <v>4</v>
      </c>
      <c r="BM33">
        <f t="shared" si="6"/>
        <v>6</v>
      </c>
      <c r="BN33">
        <f t="shared" si="7"/>
        <v>7</v>
      </c>
      <c r="BR33" t="s">
        <v>154</v>
      </c>
      <c r="BS33">
        <f t="shared" si="8"/>
        <v>2023</v>
      </c>
      <c r="BT33">
        <f t="shared" si="9"/>
        <v>2</v>
      </c>
      <c r="BU33">
        <f t="shared" si="10"/>
        <v>8</v>
      </c>
      <c r="BV33">
        <f t="shared" si="11"/>
        <v>11</v>
      </c>
      <c r="BW33" t="str">
        <f t="shared" si="12"/>
        <v/>
      </c>
      <c r="CA33" t="s">
        <v>154</v>
      </c>
      <c r="CB33">
        <f t="shared" si="18"/>
        <v>2044</v>
      </c>
      <c r="CC33">
        <f t="shared" si="0"/>
        <v>6</v>
      </c>
      <c r="CD33">
        <f t="shared" si="1"/>
        <v>5</v>
      </c>
      <c r="CE33">
        <f t="shared" si="2"/>
        <v>4</v>
      </c>
      <c r="CF33">
        <f t="shared" si="13"/>
        <v>3</v>
      </c>
      <c r="CJ33" t="s">
        <v>154</v>
      </c>
      <c r="CK33">
        <f t="shared" si="19"/>
        <v>2062</v>
      </c>
      <c r="CL33">
        <f t="shared" si="14"/>
        <v>3</v>
      </c>
      <c r="CM33">
        <f t="shared" si="15"/>
        <v>1</v>
      </c>
      <c r="CN33">
        <f t="shared" si="16"/>
        <v>8</v>
      </c>
      <c r="CO33">
        <f t="shared" si="17"/>
        <v>2</v>
      </c>
    </row>
    <row r="34" spans="1:93" x14ac:dyDescent="0.2">
      <c r="A34" t="s">
        <v>81</v>
      </c>
      <c r="B34">
        <v>2019</v>
      </c>
      <c r="C34">
        <v>2034</v>
      </c>
      <c r="D34">
        <v>2056</v>
      </c>
      <c r="E34">
        <v>2067</v>
      </c>
      <c r="F34" t="s">
        <v>102</v>
      </c>
      <c r="G34" t="s">
        <v>53</v>
      </c>
      <c r="H34" t="s">
        <v>42</v>
      </c>
      <c r="I34" t="s">
        <v>80</v>
      </c>
      <c r="M34" t="s">
        <v>81</v>
      </c>
      <c r="N34">
        <v>2012</v>
      </c>
      <c r="O34">
        <v>2023</v>
      </c>
      <c r="P34">
        <v>2047</v>
      </c>
      <c r="Q34">
        <v>2065</v>
      </c>
      <c r="R34" t="s">
        <v>95</v>
      </c>
      <c r="S34" t="s">
        <v>79</v>
      </c>
      <c r="T34" t="s">
        <v>96</v>
      </c>
      <c r="U34" t="s">
        <v>35</v>
      </c>
      <c r="Y34" t="s">
        <v>81</v>
      </c>
      <c r="Z34">
        <v>2015</v>
      </c>
      <c r="AA34">
        <v>2026</v>
      </c>
      <c r="AB34">
        <v>2051</v>
      </c>
      <c r="AC34">
        <v>2066</v>
      </c>
      <c r="AD34" t="s">
        <v>100</v>
      </c>
      <c r="AE34" t="s">
        <v>17</v>
      </c>
      <c r="AF34" t="s">
        <v>74</v>
      </c>
      <c r="AG34" t="s">
        <v>57</v>
      </c>
      <c r="AK34" t="s">
        <v>81</v>
      </c>
      <c r="AL34">
        <v>2025</v>
      </c>
      <c r="AM34">
        <v>2044</v>
      </c>
      <c r="AN34">
        <v>2061</v>
      </c>
      <c r="AO34">
        <v>2074</v>
      </c>
      <c r="AP34" t="s">
        <v>44</v>
      </c>
      <c r="AQ34" t="s">
        <v>104</v>
      </c>
      <c r="AR34" t="s">
        <v>29</v>
      </c>
      <c r="AS34" t="s">
        <v>119</v>
      </c>
      <c r="AW34" t="s">
        <v>81</v>
      </c>
      <c r="AX34">
        <v>2033</v>
      </c>
      <c r="AY34">
        <v>2047</v>
      </c>
      <c r="AZ34">
        <v>2065</v>
      </c>
      <c r="BA34">
        <v>2076</v>
      </c>
      <c r="BB34" t="s">
        <v>89</v>
      </c>
      <c r="BC34" t="s">
        <v>96</v>
      </c>
      <c r="BD34" t="s">
        <v>35</v>
      </c>
      <c r="BE34" t="s">
        <v>21</v>
      </c>
      <c r="BI34" t="s">
        <v>155</v>
      </c>
      <c r="BJ34">
        <f t="shared" si="3"/>
        <v>2012</v>
      </c>
      <c r="BK34">
        <f t="shared" si="4"/>
        <v>3</v>
      </c>
      <c r="BL34">
        <f t="shared" si="5"/>
        <v>4</v>
      </c>
      <c r="BM34">
        <f t="shared" si="6"/>
        <v>6</v>
      </c>
      <c r="BN34">
        <f t="shared" si="7"/>
        <v>8</v>
      </c>
      <c r="BR34" t="s">
        <v>155</v>
      </c>
      <c r="BS34">
        <f t="shared" si="8"/>
        <v>2023</v>
      </c>
      <c r="BT34">
        <f t="shared" si="9"/>
        <v>3</v>
      </c>
      <c r="BU34">
        <f t="shared" si="10"/>
        <v>8</v>
      </c>
      <c r="BV34">
        <f t="shared" si="11"/>
        <v>10</v>
      </c>
      <c r="BW34">
        <f t="shared" si="12"/>
        <v>3</v>
      </c>
      <c r="CA34" t="s">
        <v>155</v>
      </c>
      <c r="CB34">
        <f t="shared" si="18"/>
        <v>2047</v>
      </c>
      <c r="CC34">
        <f t="shared" si="0"/>
        <v>4</v>
      </c>
      <c r="CD34">
        <f t="shared" si="1"/>
        <v>5</v>
      </c>
      <c r="CE34">
        <f t="shared" si="2"/>
        <v>5</v>
      </c>
      <c r="CF34">
        <f t="shared" si="13"/>
        <v>4</v>
      </c>
      <c r="CJ34" t="s">
        <v>155</v>
      </c>
      <c r="CK34">
        <f t="shared" si="19"/>
        <v>2065</v>
      </c>
      <c r="CL34">
        <f t="shared" si="14"/>
        <v>1</v>
      </c>
      <c r="CM34">
        <f t="shared" si="15"/>
        <v>1</v>
      </c>
      <c r="CN34">
        <f t="shared" si="16"/>
        <v>7</v>
      </c>
      <c r="CO34">
        <f t="shared" si="17"/>
        <v>2</v>
      </c>
    </row>
    <row r="35" spans="1:93" x14ac:dyDescent="0.2">
      <c r="A35" t="s">
        <v>83</v>
      </c>
      <c r="B35">
        <v>2044</v>
      </c>
      <c r="C35">
        <v>2051</v>
      </c>
      <c r="D35">
        <v>2076</v>
      </c>
      <c r="E35">
        <v>2091</v>
      </c>
      <c r="F35" t="s">
        <v>104</v>
      </c>
      <c r="G35" t="s">
        <v>74</v>
      </c>
      <c r="H35" t="s">
        <v>21</v>
      </c>
      <c r="I35" t="s">
        <v>115</v>
      </c>
      <c r="M35" t="s">
        <v>83</v>
      </c>
      <c r="N35">
        <v>2024</v>
      </c>
      <c r="O35">
        <v>2046</v>
      </c>
      <c r="P35">
        <v>2063</v>
      </c>
      <c r="Q35">
        <v>2087</v>
      </c>
      <c r="R35" t="s">
        <v>90</v>
      </c>
      <c r="S35" t="s">
        <v>26</v>
      </c>
      <c r="T35" t="s">
        <v>111</v>
      </c>
      <c r="U35" t="s">
        <v>70</v>
      </c>
      <c r="Y35" t="s">
        <v>83</v>
      </c>
      <c r="Z35">
        <v>2033</v>
      </c>
      <c r="AA35">
        <v>2048</v>
      </c>
      <c r="AB35">
        <v>2074</v>
      </c>
      <c r="AC35">
        <v>2089</v>
      </c>
      <c r="AD35" t="s">
        <v>89</v>
      </c>
      <c r="AE35" t="s">
        <v>110</v>
      </c>
      <c r="AF35" t="s">
        <v>119</v>
      </c>
      <c r="AG35" t="s">
        <v>109</v>
      </c>
      <c r="AK35" t="s">
        <v>83</v>
      </c>
      <c r="AL35">
        <v>2048</v>
      </c>
      <c r="AM35">
        <v>2061</v>
      </c>
      <c r="AN35">
        <v>2080</v>
      </c>
      <c r="AP35" t="s">
        <v>110</v>
      </c>
      <c r="AQ35" t="s">
        <v>29</v>
      </c>
      <c r="AR35" t="s">
        <v>61</v>
      </c>
      <c r="AW35" t="s">
        <v>83</v>
      </c>
      <c r="AX35">
        <v>2051</v>
      </c>
      <c r="AY35">
        <v>2063</v>
      </c>
      <c r="AZ35">
        <v>2085</v>
      </c>
      <c r="BB35" t="s">
        <v>74</v>
      </c>
      <c r="BC35" t="s">
        <v>111</v>
      </c>
      <c r="BD35" t="s">
        <v>107</v>
      </c>
      <c r="BI35" t="s">
        <v>156</v>
      </c>
      <c r="BJ35">
        <f t="shared" si="3"/>
        <v>2024</v>
      </c>
      <c r="BK35">
        <f t="shared" si="4"/>
        <v>9</v>
      </c>
      <c r="BL35">
        <f t="shared" si="5"/>
        <v>11</v>
      </c>
      <c r="BM35">
        <f t="shared" si="6"/>
        <v>4</v>
      </c>
      <c r="BN35">
        <f t="shared" si="7"/>
        <v>3</v>
      </c>
      <c r="BR35" t="s">
        <v>156</v>
      </c>
      <c r="BS35">
        <f t="shared" si="8"/>
        <v>2046</v>
      </c>
      <c r="BT35">
        <f t="shared" si="9"/>
        <v>2</v>
      </c>
      <c r="BU35">
        <f t="shared" si="10"/>
        <v>3</v>
      </c>
      <c r="BV35">
        <f t="shared" si="11"/>
        <v>10</v>
      </c>
      <c r="BW35">
        <f t="shared" si="12"/>
        <v>2</v>
      </c>
      <c r="CA35" t="s">
        <v>156</v>
      </c>
      <c r="CB35">
        <f t="shared" si="18"/>
        <v>2063</v>
      </c>
      <c r="CC35">
        <f t="shared" si="0"/>
        <v>11</v>
      </c>
      <c r="CD35">
        <f t="shared" si="1"/>
        <v>2</v>
      </c>
      <c r="CE35">
        <f t="shared" si="2"/>
        <v>4</v>
      </c>
      <c r="CF35">
        <f t="shared" si="13"/>
        <v>5</v>
      </c>
      <c r="CJ35" t="s">
        <v>156</v>
      </c>
      <c r="CK35">
        <f t="shared" si="19"/>
        <v>2087</v>
      </c>
      <c r="CL35">
        <f t="shared" si="14"/>
        <v>2</v>
      </c>
      <c r="CM35">
        <f t="shared" si="15"/>
        <v>2</v>
      </c>
      <c r="CN35" t="str">
        <f t="shared" si="16"/>
        <v/>
      </c>
      <c r="CO35" t="str">
        <f t="shared" si="17"/>
        <v/>
      </c>
    </row>
    <row r="36" spans="1:93" x14ac:dyDescent="0.2">
      <c r="A36" t="s">
        <v>86</v>
      </c>
      <c r="B36">
        <v>2038</v>
      </c>
      <c r="C36">
        <v>2049</v>
      </c>
      <c r="D36">
        <v>2067</v>
      </c>
      <c r="E36">
        <v>2078</v>
      </c>
      <c r="F36" t="s">
        <v>37</v>
      </c>
      <c r="G36" t="s">
        <v>23</v>
      </c>
      <c r="H36" t="s">
        <v>80</v>
      </c>
      <c r="I36" t="s">
        <v>161</v>
      </c>
      <c r="M36" t="s">
        <v>86</v>
      </c>
      <c r="N36">
        <v>2022</v>
      </c>
      <c r="O36">
        <v>2038</v>
      </c>
      <c r="P36">
        <v>2060</v>
      </c>
      <c r="Q36">
        <v>2077</v>
      </c>
      <c r="R36" t="s">
        <v>82</v>
      </c>
      <c r="S36" t="s">
        <v>37</v>
      </c>
      <c r="T36" t="s">
        <v>101</v>
      </c>
      <c r="U36" t="s">
        <v>63</v>
      </c>
      <c r="Y36" t="s">
        <v>86</v>
      </c>
      <c r="Z36">
        <v>2033</v>
      </c>
      <c r="AA36">
        <v>2046</v>
      </c>
      <c r="AB36">
        <v>2062</v>
      </c>
      <c r="AC36">
        <v>2077</v>
      </c>
      <c r="AD36" t="s">
        <v>89</v>
      </c>
      <c r="AE36" t="s">
        <v>26</v>
      </c>
      <c r="AF36" t="s">
        <v>60</v>
      </c>
      <c r="AG36" t="s">
        <v>63</v>
      </c>
      <c r="AK36" t="s">
        <v>86</v>
      </c>
      <c r="AL36">
        <v>2044</v>
      </c>
      <c r="AM36">
        <v>2058</v>
      </c>
      <c r="AN36">
        <v>2074</v>
      </c>
      <c r="AO36">
        <v>2085</v>
      </c>
      <c r="AP36" t="s">
        <v>104</v>
      </c>
      <c r="AQ36" t="s">
        <v>24</v>
      </c>
      <c r="AR36" t="s">
        <v>119</v>
      </c>
      <c r="AS36" t="s">
        <v>107</v>
      </c>
      <c r="AW36" t="s">
        <v>86</v>
      </c>
      <c r="AX36">
        <v>2048</v>
      </c>
      <c r="AY36">
        <v>2060</v>
      </c>
      <c r="AZ36">
        <v>2076</v>
      </c>
      <c r="BA36">
        <v>2090</v>
      </c>
      <c r="BB36" t="s">
        <v>110</v>
      </c>
      <c r="BC36" t="s">
        <v>101</v>
      </c>
      <c r="BD36" t="s">
        <v>21</v>
      </c>
      <c r="BE36" t="s">
        <v>51</v>
      </c>
      <c r="BI36" t="s">
        <v>157</v>
      </c>
      <c r="BJ36">
        <f t="shared" si="3"/>
        <v>2022</v>
      </c>
      <c r="BK36">
        <f t="shared" si="4"/>
        <v>11</v>
      </c>
      <c r="BL36">
        <f t="shared" si="5"/>
        <v>5</v>
      </c>
      <c r="BM36">
        <f t="shared" si="6"/>
        <v>6</v>
      </c>
      <c r="BN36">
        <f t="shared" si="7"/>
        <v>4</v>
      </c>
      <c r="BR36" t="s">
        <v>157</v>
      </c>
      <c r="BS36">
        <f t="shared" si="8"/>
        <v>2038</v>
      </c>
      <c r="BT36">
        <f t="shared" si="9"/>
        <v>8</v>
      </c>
      <c r="BU36">
        <f t="shared" si="10"/>
        <v>3</v>
      </c>
      <c r="BV36">
        <f t="shared" si="11"/>
        <v>9</v>
      </c>
      <c r="BW36">
        <f t="shared" si="12"/>
        <v>2</v>
      </c>
      <c r="CA36" t="s">
        <v>157</v>
      </c>
      <c r="CB36">
        <f t="shared" si="18"/>
        <v>2060</v>
      </c>
      <c r="CC36">
        <f t="shared" si="0"/>
        <v>2</v>
      </c>
      <c r="CD36">
        <f t="shared" si="1"/>
        <v>5</v>
      </c>
      <c r="CE36">
        <f t="shared" si="2"/>
        <v>7</v>
      </c>
      <c r="CF36">
        <f t="shared" si="13"/>
        <v>2</v>
      </c>
      <c r="CJ36" t="s">
        <v>157</v>
      </c>
      <c r="CK36">
        <f t="shared" si="19"/>
        <v>2077</v>
      </c>
      <c r="CL36" t="str">
        <f t="shared" si="14"/>
        <v/>
      </c>
      <c r="CM36">
        <f t="shared" si="15"/>
        <v>1</v>
      </c>
      <c r="CN36">
        <f t="shared" si="16"/>
        <v>7</v>
      </c>
      <c r="CO36">
        <f t="shared" si="17"/>
        <v>5</v>
      </c>
    </row>
  </sheetData>
  <mergeCells count="14">
    <mergeCell ref="BS1:BW1"/>
    <mergeCell ref="CB1:CF1"/>
    <mergeCell ref="CK1:CO1"/>
    <mergeCell ref="BJ1:BN1"/>
    <mergeCell ref="B1:E1"/>
    <mergeCell ref="F1:I1"/>
    <mergeCell ref="Z1:AC1"/>
    <mergeCell ref="AD1:AG1"/>
    <mergeCell ref="AP1:AS1"/>
    <mergeCell ref="AL1:AO1"/>
    <mergeCell ref="N1:Q1"/>
    <mergeCell ref="R1:U1"/>
    <mergeCell ref="AX1:BA1"/>
    <mergeCell ref="BB1:B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Diagramme</vt:lpstr>
      </vt:variant>
      <vt:variant>
        <vt:i4>4</vt:i4>
      </vt:variant>
    </vt:vector>
  </HeadingPairs>
  <TitlesOfParts>
    <vt:vector size="6" baseType="lpstr">
      <vt:lpstr>lookup_table</vt:lpstr>
      <vt:lpstr>Tabelle1</vt:lpstr>
      <vt:lpstr>uncertainty_gwl15</vt:lpstr>
      <vt:lpstr>uncertainty_gwl20</vt:lpstr>
      <vt:lpstr>uncertainty_gwl30</vt:lpstr>
      <vt:lpstr>uncertainty_gwl40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2023-07-14T14:06:27Z</dcterms:created>
  <dcterms:modified xsi:type="dcterms:W3CDTF">2023-11-30T12:40:23Z</dcterms:modified>
</cp:coreProperties>
</file>