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drawings/drawing8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ecsi/Desktop/Arbeit/Qgis/data/AAR2/GWLs/"/>
    </mc:Choice>
  </mc:AlternateContent>
  <xr:revisionPtr revIDLastSave="0" documentId="13_ncr:1_{75E6BFF4-BE0F-764B-9875-B7951D34E5C7}" xr6:coauthVersionLast="47" xr6:coauthVersionMax="47" xr10:uidLastSave="{00000000-0000-0000-0000-000000000000}"/>
  <bookViews>
    <workbookView xWindow="0" yWindow="500" windowWidth="38400" windowHeight="22120" xr2:uid="{3205E47B-5EE3-6F45-A00E-09C2AA1423A5}"/>
  </bookViews>
  <sheets>
    <sheet name="CMIP6_sel" sheetId="4" r:id="rId1"/>
    <sheet name="CMIP5_sel" sheetId="5" r:id="rId2"/>
    <sheet name="CMIP6_sel_timing" sheetId="6" r:id="rId3"/>
    <sheet name="gwl_date" sheetId="9" r:id="rId4"/>
    <sheet name="gwl_rcps" sheetId="10" r:id="rId5"/>
    <sheet name="gwl_ssps" sheetId="11" r:id="rId6"/>
    <sheet name="gwl_ccs_AUT" sheetId="12" r:id="rId7"/>
  </sheets>
  <externalReferences>
    <externalReference r:id="rId8"/>
    <externalReference r:id="rId9"/>
  </externalReferences>
  <definedNames>
    <definedName name="_xlchart.v1.0" hidden="1">[1]Tabelle2!$C$3:$C$33</definedName>
    <definedName name="_xlchart.v1.1" hidden="1">[1]Tabelle2!$D$3:$D$33</definedName>
    <definedName name="_xlchart.v1.10" hidden="1">CMIP6_sel_timing!$D$3:$D$28</definedName>
    <definedName name="_xlchart.v1.11" hidden="1">CMIP6_sel_timing!$E$3:$E$28</definedName>
    <definedName name="_xlchart.v1.12" hidden="1">[2]Tabelle2!$F$33:$F$42</definedName>
    <definedName name="_xlchart.v1.13" hidden="1">CMIP5_sel!$C$11:$C$17</definedName>
    <definedName name="_xlchart.v1.14" hidden="1">CMIP5_sel!$C$18:$C$25</definedName>
    <definedName name="_xlchart.v1.15" hidden="1">CMIP5_sel!$C$3:$C$10</definedName>
    <definedName name="_xlchart.v1.16" hidden="1">CMIP5_sel!$D$11:$D$17</definedName>
    <definedName name="_xlchart.v1.17" hidden="1">CMIP5_sel!$D$18:$D$25</definedName>
    <definedName name="_xlchart.v1.18" hidden="1">CMIP5_sel!$D$3:$D$10</definedName>
    <definedName name="_xlchart.v1.19" hidden="1">CMIP6_sel!$C$13:$C$22</definedName>
    <definedName name="_xlchart.v1.2" hidden="1">[1]Tabelle2!$E$3:$E$33</definedName>
    <definedName name="_xlchart.v1.20" hidden="1">CMIP6_sel!$C$23:$C$30</definedName>
    <definedName name="_xlchart.v1.21" hidden="1">CMIP6_sel!$C$31:$C$40</definedName>
    <definedName name="_xlchart.v1.22" hidden="1">CMIP6_sel!$C$5:$C$12</definedName>
    <definedName name="_xlchart.v1.23" hidden="1">CMIP6_sel!$D$13:$D$22</definedName>
    <definedName name="_xlchart.v1.24" hidden="1">CMIP6_sel!$D$23:$D$30</definedName>
    <definedName name="_xlchart.v1.25" hidden="1">CMIP6_sel!$D$31:$D$40</definedName>
    <definedName name="_xlchart.v1.26" hidden="1">CMIP6_sel!$D$5:$D$12</definedName>
    <definedName name="_xlchart.v1.27" hidden="1">CMIP5_sel!$K$3:$K$25</definedName>
    <definedName name="_xlchart.v1.28" hidden="1">CMIP5_sel!$L$3:$L$25</definedName>
    <definedName name="_xlchart.v1.29" hidden="1">CMIP5_sel!$M$3:$M$25</definedName>
    <definedName name="_xlchart.v1.3" hidden="1">[1]Tabelle2!$F$3:$F$33</definedName>
    <definedName name="_xlchart.v1.30" hidden="1">CMIP5_sel!$N$3:$N$25</definedName>
    <definedName name="_xlchart.v1.31" hidden="1">CMIP6_sel!$K$3:$K$40</definedName>
    <definedName name="_xlchart.v1.32" hidden="1">CMIP6_sel!$L$3:$L$40</definedName>
    <definedName name="_xlchart.v1.33" hidden="1">CMIP6_sel!$M$3:$M$40</definedName>
    <definedName name="_xlchart.v1.34" hidden="1">CMIP6_sel!$N$3:$N$40</definedName>
    <definedName name="_xlchart.v1.4" hidden="1">CMIP5_sel!$C$3:$C$25</definedName>
    <definedName name="_xlchart.v1.5" hidden="1">CMIP5_sel!$D$3:$D$25</definedName>
    <definedName name="_xlchart.v1.6" hidden="1">CMIP5_sel!$E$3:$E$25</definedName>
    <definedName name="_xlchart.v1.7" hidden="1">CMIP5_sel!$F$3:$F$25</definedName>
    <definedName name="_xlchart.v1.8" hidden="1">CMIP6_sel_timing!$B$3:$B$28</definedName>
    <definedName name="_xlchart.v1.9" hidden="1">CMIP6_sel_timing!$C$3:$C$28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" i="4" l="1"/>
  <c r="U7" i="4"/>
  <c r="T7" i="4"/>
  <c r="S7" i="4"/>
  <c r="S6" i="4"/>
  <c r="S5" i="4"/>
  <c r="S4" i="4"/>
  <c r="S3" i="4"/>
  <c r="P7" i="4"/>
  <c r="Q7" i="4"/>
  <c r="R7" i="4"/>
  <c r="O7" i="4"/>
  <c r="T6" i="4"/>
  <c r="U6" i="4"/>
  <c r="V6" i="4"/>
  <c r="P6" i="4"/>
  <c r="Q6" i="4"/>
  <c r="R6" i="4"/>
  <c r="O6" i="4"/>
  <c r="V5" i="4"/>
  <c r="U5" i="4"/>
  <c r="T5" i="4"/>
  <c r="P5" i="4"/>
  <c r="Q5" i="4"/>
  <c r="R5" i="4"/>
  <c r="O5" i="4"/>
  <c r="T4" i="4"/>
  <c r="U4" i="4"/>
  <c r="V4" i="4"/>
  <c r="R4" i="4"/>
  <c r="Q4" i="4"/>
  <c r="P4" i="4"/>
  <c r="O4" i="4"/>
  <c r="V3" i="4"/>
  <c r="U3" i="4"/>
  <c r="T3" i="4"/>
  <c r="R3" i="4"/>
  <c r="Q3" i="4"/>
  <c r="P3" i="4"/>
  <c r="O3" i="4"/>
</calcChain>
</file>

<file path=xl/sharedStrings.xml><?xml version="1.0" encoding="utf-8"?>
<sst xmlns="http://schemas.openxmlformats.org/spreadsheetml/2006/main" count="463" uniqueCount="160">
  <si>
    <t>Model</t>
  </si>
  <si>
    <t>Mean year per GWL</t>
  </si>
  <si>
    <t>Period per GWL</t>
  </si>
  <si>
    <t>GCM (CMIP6)</t>
  </si>
  <si>
    <t>1.5°C</t>
  </si>
  <si>
    <t>2.0°C</t>
  </si>
  <si>
    <t>3.0°C</t>
  </si>
  <si>
    <t>4.0°C</t>
  </si>
  <si>
    <t>2058-2077</t>
  </si>
  <si>
    <t>CanESM5_ssp119_r1i1p1f1_gn_201501-210012</t>
  </si>
  <si>
    <t>2003-2022</t>
  </si>
  <si>
    <t>2015-2034</t>
  </si>
  <si>
    <t>2020-2039</t>
  </si>
  <si>
    <t>2002-2021</t>
  </si>
  <si>
    <t>IPSL-CM6A-LR_ssp119_r1i1p1f1_gr_201501-210012</t>
  </si>
  <si>
    <t>2009-2028</t>
  </si>
  <si>
    <t>2028-2047</t>
  </si>
  <si>
    <t>2021-2040</t>
  </si>
  <si>
    <t>2030-2049</t>
  </si>
  <si>
    <t>2018-2037</t>
  </si>
  <si>
    <t>2033-2052</t>
  </si>
  <si>
    <t>2064-2083</t>
  </si>
  <si>
    <t>2013-2032</t>
  </si>
  <si>
    <t>2041-2060</t>
  </si>
  <si>
    <t>BCC-CSM2-MR_ssp126_r1i1p1f1_gn_201501-210012</t>
  </si>
  <si>
    <t>2032-2051</t>
  </si>
  <si>
    <t>2050-2069</t>
  </si>
  <si>
    <t>2012-2031</t>
  </si>
  <si>
    <t>2029-2048</t>
  </si>
  <si>
    <t>2017-2036</t>
  </si>
  <si>
    <t>2014-2033</t>
  </si>
  <si>
    <t>2022-2041</t>
  </si>
  <si>
    <t>CNRM-CM6-1-HR_ssp126_r1i1p1f2_gr_201501-210012</t>
  </si>
  <si>
    <t>2008-2027</t>
  </si>
  <si>
    <t>CNRM-CM6-1_ssp126_r1i1p1f2_gr_201501-210012</t>
  </si>
  <si>
    <t>2038-2057</t>
  </si>
  <si>
    <t>CanESM5-CanOE_ssp126_r1i1p2f1_gn_201501-210012</t>
  </si>
  <si>
    <t>2000-2019</t>
  </si>
  <si>
    <t>2011-2030</t>
  </si>
  <si>
    <t>CanESM5_ssp126_r1i1p1f1_gn_201501-210012</t>
  </si>
  <si>
    <t>2004-2023</t>
  </si>
  <si>
    <t>2034-2053</t>
  </si>
  <si>
    <t>2047-2066</t>
  </si>
  <si>
    <t>2025-2044</t>
  </si>
  <si>
    <t>2019-2038</t>
  </si>
  <si>
    <t>2031-2050</t>
  </si>
  <si>
    <t>2036-2055</t>
  </si>
  <si>
    <t>2027-2046</t>
  </si>
  <si>
    <t>2069-2088</t>
  </si>
  <si>
    <t>IPSL-CM6A-LR_ssp126_r1i1p1f1_gr_201501-210012</t>
  </si>
  <si>
    <t>2010-2029</t>
  </si>
  <si>
    <t>2053-2072</t>
  </si>
  <si>
    <t>2040-2059</t>
  </si>
  <si>
    <t>NorESM2-LM_ssp126_r1i1p1f1_gn_201501-210012</t>
  </si>
  <si>
    <t>NorESM2-MM_ssp126_r1i1p1f1_gn_201501-210012</t>
  </si>
  <si>
    <t>BCC-CSM2-MR_ssp245_r1i1p1f1_gn_201501-210012</t>
  </si>
  <si>
    <t>2026-2045</t>
  </si>
  <si>
    <t>2048-2067</t>
  </si>
  <si>
    <t>2046-2065</t>
  </si>
  <si>
    <t>2066-2085</t>
  </si>
  <si>
    <t>2057-2076</t>
  </si>
  <si>
    <t>2056-2075</t>
  </si>
  <si>
    <t>CNRM-CM6-1-HR_ssp245_r1i1p1f2_gr_201501-210012</t>
  </si>
  <si>
    <t>2024-2043</t>
  </si>
  <si>
    <t>CNRM-CM6-1_ssp245_r1i1p1f2_gr_201501-210012</t>
  </si>
  <si>
    <t>2039-2058</t>
  </si>
  <si>
    <t>2075-2094</t>
  </si>
  <si>
    <t>CanESM5-CanOE_ssp245_r1i1p2f1_gn_201501-210012</t>
  </si>
  <si>
    <t>2035-2054</t>
  </si>
  <si>
    <t>2071-2090</t>
  </si>
  <si>
    <t>CanESM5_ssp245_r1i1p1f1_gn_201501-210012</t>
  </si>
  <si>
    <t>2074-2093</t>
  </si>
  <si>
    <t>2081-2100</t>
  </si>
  <si>
    <t>2001-2020</t>
  </si>
  <si>
    <t>2076-2095</t>
  </si>
  <si>
    <t>2023-2042</t>
  </si>
  <si>
    <t>GFDL-CM4_ssp245_r1i1p1f1_gr1_201501-210012</t>
  </si>
  <si>
    <t>GFDL-CM4_ssp245_r1i1p1f1_gr2_201501-210012</t>
  </si>
  <si>
    <t>2037-2056</t>
  </si>
  <si>
    <t>2045-2064</t>
  </si>
  <si>
    <t>2063-2082</t>
  </si>
  <si>
    <t>IPSL-CM6A-LR_ssp245_r1i1p1f1_gr_201501-210012</t>
  </si>
  <si>
    <t>NorESM2-LM_ssp245_r1i1p1f1_gn_201501-210012</t>
  </si>
  <si>
    <t>NorESM2-MM_ssp245_r1i1p1f1_gn_201501-210012</t>
  </si>
  <si>
    <t>2059-2078</t>
  </si>
  <si>
    <t>2060-2079</t>
  </si>
  <si>
    <t>BCC-CSM2-MR_ssp370_r1i1p1f1_gn_201501-210012</t>
  </si>
  <si>
    <t>2065-2084</t>
  </si>
  <si>
    <t>2078-2097</t>
  </si>
  <si>
    <t>CNRM-CM6-1-HR_ssp370_r1i1p1f2_gr_201501-210012</t>
  </si>
  <si>
    <t>2067-2086</t>
  </si>
  <si>
    <t>CNRM-CM6-1_ssp370_r1i1p1f2_gr_201501-210012</t>
  </si>
  <si>
    <t>CanESM5-CanOE_ssp370_r1i1p2f1_gn_201501-210012</t>
  </si>
  <si>
    <t>1999-2018</t>
  </si>
  <si>
    <t>CanESM5_ssp370_r1i1p1f1_gn_201501-210012</t>
  </si>
  <si>
    <t>2042-2061</t>
  </si>
  <si>
    <t>2049-2068</t>
  </si>
  <si>
    <t>2070-2089</t>
  </si>
  <si>
    <t>IPSL-CM6A-LR_ssp370_r1i1p1f1_gr_201501-210012</t>
  </si>
  <si>
    <t>2061-2080</t>
  </si>
  <si>
    <t>NorESM2-LM_ssp370_r1i1p1f1_gn_201501-210012</t>
  </si>
  <si>
    <t>NorESM2-MM_ssp370_r1i1p1f1_gn_201501-210012</t>
  </si>
  <si>
    <t>BCC-CSM2-MR_ssp585_r1i1p1f1_gn_201501-210012</t>
  </si>
  <si>
    <t>2068-2087</t>
  </si>
  <si>
    <t>2044-2063</t>
  </si>
  <si>
    <t>CNRM-CM6-1-HR_ssp585_r1i1p1f2_gr_201501-210012</t>
  </si>
  <si>
    <t>CNRM-CM6-1_ssp585_r1i1p1f2_gr_201501-210012</t>
  </si>
  <si>
    <t>CanESM5-CanOE_ssp585_r1i1p2f1_gn_201501-210012</t>
  </si>
  <si>
    <t>CanESM5_ssp585_r1i1p1f1_gn_201501-210012</t>
  </si>
  <si>
    <t>GFDL-CM4_ssp585_r1i1p1f1_gr1_201501-210012</t>
  </si>
  <si>
    <t>GFDL-CM4_ssp585_r1i1p1f1_gr2_201501-210012</t>
  </si>
  <si>
    <t>IPSL-CM6A-LR_ssp585_r1i1p1f1_gr_201501-210012</t>
  </si>
  <si>
    <t>NorESM2-LM_ssp585_r1i1p1f1_gn_201501-210012</t>
  </si>
  <si>
    <t>NorESM2-MM_ssp585_r1i1p1f1_gn_201501-210012</t>
  </si>
  <si>
    <t>AUT GCM CCS 1991-2020</t>
  </si>
  <si>
    <t>Median</t>
  </si>
  <si>
    <t>CCS AUT ÖKS15</t>
  </si>
  <si>
    <t>GCM (CMIP5)</t>
  </si>
  <si>
    <t>CNRM-CM5_rcp26_r1i1p1_200601-210012</t>
  </si>
  <si>
    <t>CanESM2_rcp26_r1i1p1_200601-210012</t>
  </si>
  <si>
    <t>IPSL-CM5A-LR_rcp26_r1i1p1_200601-230012</t>
  </si>
  <si>
    <t>IPSL-CM5A-MR_rcp26_r1i1p1_200601-210012</t>
  </si>
  <si>
    <t>2006-2025</t>
  </si>
  <si>
    <t>NorESM1-ME_rcp26_r1i1p1_200601-210112</t>
  </si>
  <si>
    <t>NorESM1-M_rcp26_r1i1p1_200601-210012</t>
  </si>
  <si>
    <t>bcc-csm1-1-m_rcp26_r1i1p1_200601-210012</t>
  </si>
  <si>
    <t>bcc-csm1-1_rcp26_r1i1p1_200601-209912</t>
  </si>
  <si>
    <t>CNRM-CM5_rcp45_r1i1p1_200601-210012</t>
  </si>
  <si>
    <t>CanESM2_rcp45_r1i1p1_200601-210012</t>
  </si>
  <si>
    <t>IPSL-CM5A-LR_rcp45_r1i1p1_200601-230012</t>
  </si>
  <si>
    <t>NorESM1-ME_rcp45_r1i1p1_200601-210212</t>
  </si>
  <si>
    <t>NorESM1-M_rcp45_r1i1p1_200601-210012</t>
  </si>
  <si>
    <t>bcc-csm1-1-m_rcp45_r1i1p1_200601-210012</t>
  </si>
  <si>
    <t>bcc-csm1-1_rcp45_r1i1p1_200601-209912</t>
  </si>
  <si>
    <t>CNRM-CM5_rcp85_r1i1p1_200601-210012</t>
  </si>
  <si>
    <t>CanESM2_rcp85_r1i1p1_200601-210012</t>
  </si>
  <si>
    <t>GFDL-CM3_rcp85_r1i1p1_200601-210012</t>
  </si>
  <si>
    <t>IPSL-CM5A-LR_rcp85_r1i1p1_200601-230012</t>
  </si>
  <si>
    <t>NorESM1-ME_rcp85_r1i1p1_200601-210012</t>
  </si>
  <si>
    <t>NorESM1-M_rcp85_r1i1p1_200601-210012</t>
  </si>
  <si>
    <t>bcc-csm1-1-m_rcp85_r1i1p1_200601-210012</t>
  </si>
  <si>
    <t>bcc-csm1-1_rcp85_r1i1p1_200601-209912</t>
  </si>
  <si>
    <t>rcp</t>
  </si>
  <si>
    <t>rcp26</t>
  </si>
  <si>
    <t>rcp85</t>
  </si>
  <si>
    <t>rcp45</t>
  </si>
  <si>
    <t>ssp</t>
  </si>
  <si>
    <t>ssp119</t>
  </si>
  <si>
    <t>ssp126</t>
  </si>
  <si>
    <t>ssp245</t>
  </si>
  <si>
    <t>ssp370</t>
  </si>
  <si>
    <t>ssp585</t>
  </si>
  <si>
    <t>-&gt;</t>
  </si>
  <si>
    <t>scaling factor</t>
  </si>
  <si>
    <t>p10</t>
  </si>
  <si>
    <t>p25</t>
  </si>
  <si>
    <t>p75</t>
  </si>
  <si>
    <t>p90</t>
  </si>
  <si>
    <t>percentiles</t>
  </si>
  <si>
    <t>percentiles (scaled)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</si>
</sst>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164" fontId="0" fillId="0" borderId="0" xfId="0" applyNumberFormat="1"/>
    <xf numFmtId="0" fontId="0" fillId="0" borderId="0" xfId="0" quotePrefix="1"/>
    <xf numFmtId="0" fontId="1" fillId="0" borderId="0" xfId="0" applyFont="1"/>
    <xf numFmtId="0" fontId="0" fillId="2" borderId="1" xfId="0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styles" Target="styles.xml"/><Relationship Id="rId5" Type="http://schemas.openxmlformats.org/officeDocument/2006/relationships/chartsheet" Target="chartsheets/sheet2.xml"/><Relationship Id="rId10" Type="http://schemas.openxmlformats.org/officeDocument/2006/relationships/theme" Target="theme/theme1.xml"/><Relationship Id="rId4" Type="http://schemas.openxmlformats.org/officeDocument/2006/relationships/chartsheet" Target="chartsheets/sheet1.xml"/><Relationship Id="rId9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  <cx:data id="1">
      <cx:numDim type="val">
        <cx:f>_xlchart.v1.4</cx:f>
      </cx:numDim>
    </cx:data>
    <cx:data id="2">
      <cx:numDim type="val">
        <cx:f>_xlchart.v1.8</cx:f>
      </cx:numDim>
    </cx:data>
    <cx:data id="3"/>
    <cx:data id="4">
      <cx:numDim type="val">
        <cx:f>_xlchart.v1.1</cx:f>
      </cx:numDim>
    </cx:data>
    <cx:data id="5">
      <cx:numDim type="val">
        <cx:f>_xlchart.v1.5</cx:f>
      </cx:numDim>
    </cx:data>
    <cx:data id="6">
      <cx:numDim type="val">
        <cx:f>_xlchart.v1.9</cx:f>
      </cx:numDim>
    </cx:data>
    <cx:data id="7"/>
    <cx:data id="8">
      <cx:numDim type="val">
        <cx:f>_xlchart.v1.2</cx:f>
      </cx:numDim>
    </cx:data>
    <cx:data id="9">
      <cx:numDim type="val">
        <cx:f>_xlchart.v1.6</cx:f>
      </cx:numDim>
    </cx:data>
    <cx:data id="10">
      <cx:numDim type="val">
        <cx:f>_xlchart.v1.10</cx:f>
      </cx:numDim>
    </cx:data>
    <cx:data id="11"/>
    <cx:data id="12">
      <cx:numDim type="val">
        <cx:f>_xlchart.v1.3</cx:f>
      </cx:numDim>
    </cx:data>
    <cx:data id="13">
      <cx:numDim type="val">
        <cx:f>_xlchart.v1.7</cx:f>
      </cx:numDim>
    </cx:data>
    <cx:data id="14">
      <cx:numDim type="val">
        <cx:f>_xlchart.v1.11</cx:f>
      </cx:numDim>
    </cx:data>
  </cx:chartData>
  <cx:chart>
    <cx:title pos="t" align="ctr" overlay="0">
      <cx:tx>
        <cx:txData>
          <cx:v>Date of reaching GWLs: CMIP5 (OEKS15) vs. CMIP5 (whole ensemble) vs. CMIP6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de-DE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Date of reaching GWLs: CMIP5 (OEKS15) vs. CMIP5 (whole ensemble) vs. CMIP6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boxWhisker" uniqueId="{00000007-8C2E-6046-9CB2-CB9C5341ECB9}" formatIdx="0">
          <cx:tx>
            <cx:txData>
              <cx:f/>
              <cx:v>1.5°C OEKS15 (16)</cx:v>
            </cx:txData>
          </cx:tx>
          <cx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8-8C2E-6046-9CB2-CB9C5341ECB9}" formatIdx="1">
          <cx:tx>
            <cx:txData>
              <cx:f/>
              <cx:v>1.5°C CMIP5 (22)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9-8C2E-6046-9CB2-CB9C5341ECB9}" formatIdx="2">
          <cx:tx>
            <cx:txData>
              <cx:f/>
              <cx:v>1.5°C CMIP6 (24)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2-E6FF-D540-8FC9-92E5F16CD45B}">
          <cx:dataId val="3"/>
          <cx:layoutPr>
            <cx:statistics quartileMethod="exclusive"/>
          </cx:layoutPr>
        </cx:series>
        <cx:series layoutId="boxWhisker" uniqueId="{00000003-E6FF-D540-8FC9-92E5F16CD45B}">
          <cx:tx>
            <cx:txData>
              <cx:f/>
              <cx:v>2.0°C OEKS15 (12)</cx:v>
            </cx:txData>
          </cx:tx>
          <cx:spPr>
            <a:solidFill>
              <a:schemeClr val="accent6">
                <a:lumMod val="20000"/>
                <a:lumOff val="8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4-E6FF-D540-8FC9-92E5F16CD45B}">
          <cx:tx>
            <cx:txData>
              <cx:f/>
              <cx:v>2.0°C CMIP5 (19)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5-E6FF-D540-8FC9-92E5F16CD45B}">
          <cx:tx>
            <cx:txData>
              <cx:f/>
              <cx:v>2.0°C CMIP6 (21)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meanMarker="0" nonoutliers="0"/>
            <cx:statistics quartileMethod="exclusive"/>
          </cx:layoutPr>
        </cx:series>
        <cx:series layoutId="boxWhisker" uniqueId="{00000006-E6FF-D540-8FC9-92E5F16CD45B}">
          <cx:dataId val="7"/>
          <cx:layoutPr>
            <cx:statistics quartileMethod="exclusive"/>
          </cx:layoutPr>
        </cx:series>
        <cx:series layoutId="boxWhisker" uniqueId="{00000007-E6FF-D540-8FC9-92E5F16CD45B}">
          <cx:tx>
            <cx:txData>
              <cx:f/>
              <cx:v>3.0°C OEKS15 (8)</cx:v>
            </cx:txData>
          </cx:tx>
          <cx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/>
              </a:solidFill>
            </a:ln>
          </cx:spPr>
          <cx:dataId val="8"/>
          <cx:layoutPr>
            <cx:visibility meanLine="1" meanMarker="0" nonoutliers="0"/>
            <cx:statistics quartileMethod="exclusive"/>
          </cx:layoutPr>
        </cx:series>
        <cx:series layoutId="boxWhisker" uniqueId="{00000008-E6FF-D540-8FC9-92E5F16CD45B}">
          <cx:tx>
            <cx:txData>
              <cx:f/>
              <cx:v>3.0°C CMIP5 (10)</cx:v>
            </cx:txData>
          </cx:tx>
          <cx:spPr>
            <a:solidFill>
              <a:schemeClr val="accent2">
                <a:lumMod val="40000"/>
                <a:lumOff val="60000"/>
              </a:schemeClr>
            </a:solidFill>
            <a:ln>
              <a:solidFill>
                <a:schemeClr val="accent2"/>
              </a:solidFill>
            </a:ln>
          </cx:spPr>
          <cx:dataId val="9"/>
          <cx:layoutPr>
            <cx:visibility meanLine="1" meanMarker="0" nonoutliers="0"/>
            <cx:statistics quartileMethod="exclusive"/>
          </cx:layoutPr>
        </cx:series>
        <cx:series layoutId="boxWhisker" uniqueId="{00000009-E6FF-D540-8FC9-92E5F16CD45B}">
          <cx:tx>
            <cx:txData>
              <cx:f/>
              <cx:v>3.0°C CMIP6 (13)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10"/>
          <cx:layoutPr>
            <cx:visibility meanLine="1" meanMarker="0" nonoutliers="0"/>
            <cx:statistics quartileMethod="exclusive"/>
          </cx:layoutPr>
        </cx:series>
        <cx:series layoutId="boxWhisker" uniqueId="{0000000A-E6FF-D540-8FC9-92E5F16CD45B}">
          <cx:dataId val="11"/>
          <cx:layoutPr>
            <cx:statistics quartileMethod="exclusive"/>
          </cx:layoutPr>
        </cx:series>
        <cx:series layoutId="boxWhisker" uniqueId="{0000000B-E6FF-D540-8FC9-92E5F16CD45B}">
          <cx:tx>
            <cx:txData>
              <cx:f/>
              <cx:v>4.0°C OEKS15 (5)</cx:v>
            </cx:txData>
          </cx:tx>
          <cx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</cx:spPr>
          <cx:dataId val="12"/>
          <cx:layoutPr>
            <cx:visibility meanLine="1" meanMarker="0" nonoutliers="0"/>
            <cx:statistics quartileMethod="exclusive"/>
          </cx:layoutPr>
        </cx:series>
        <cx:series layoutId="boxWhisker" uniqueId="{0000000C-E6FF-D540-8FC9-92E5F16CD45B}">
          <cx:tx>
            <cx:txData>
              <cx:f/>
              <cx:v>4.0°C CMIP5 (6)</cx:v>
            </cx:txData>
          </cx:tx>
          <cx:spPr>
            <a:solidFill>
              <a:schemeClr val="bg2">
                <a:lumMod val="75000"/>
              </a:schemeClr>
            </a:solidFill>
            <a:ln>
              <a:solidFill>
                <a:schemeClr val="tx1"/>
              </a:solidFill>
            </a:ln>
          </cx:spPr>
          <cx:dataId val="13"/>
          <cx:layoutPr>
            <cx:visibility meanLine="1" meanMarker="0" nonoutliers="0"/>
            <cx:statistics quartileMethod="exclusive"/>
          </cx:layoutPr>
        </cx:series>
        <cx:series layoutId="boxWhisker" uniqueId="{0000000D-E6FF-D540-8FC9-92E5F16CD45B}">
          <cx:tx>
            <cx:txData>
              <cx:f/>
              <cx:v>4.0°C CMIP6 (7)</cx:v>
            </cx:txData>
          </cx:tx>
          <cx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</cx:spPr>
          <cx:dataId val="14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title>
          <cx:tx>
            <cx:txData>
              <cx:v>Year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200"/>
              </a:pPr>
              <a:r>
                <a:rPr lang="de-DE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Year</a:t>
              </a:r>
            </a:p>
          </cx:txPr>
        </cx:title>
        <cx:majorGridlines/>
        <cx:majorTickMarks type="out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de-DE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1">
      <cx:spPr>
        <a:solidFill>
          <a:schemeClr val="bg1"/>
        </a:solidFill>
        <a:ln>
          <a:solidFill>
            <a:srgbClr val="DADADA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/>
          </a:pPr>
          <a:endParaRPr lang="de-DE" sz="12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_xlchart.v1.15</cx:f>
      </cx:numDim>
    </cx:data>
    <cx:data id="1">
      <cx:numDim type="val">
        <cx:f>_xlchart.v1.13</cx:f>
      </cx:numDim>
    </cx:data>
    <cx:data id="2">
      <cx:numDim type="val">
        <cx:f>_xlchart.v1.14</cx:f>
      </cx:numDim>
    </cx:data>
    <cx:data id="3">
      <cx:numDim type="val">
        <cx:f>_xlchart.v1.12</cx:f>
      </cx:numDim>
    </cx:data>
    <cx:data id="4">
      <cx:numDim type="val">
        <cx:f>_xlchart.v1.18</cx:f>
      </cx:numDim>
    </cx:data>
    <cx:data id="5">
      <cx:numDim type="val">
        <cx:f>_xlchart.v1.16</cx:f>
      </cx:numDim>
    </cx:data>
    <cx:data id="6">
      <cx:numDim type="val">
        <cx:f>_xlchart.v1.17</cx:f>
      </cx:numDim>
    </cx:data>
  </cx:chartData>
  <cx:chart>
    <cx:title pos="t" align="ctr" overlay="0">
      <cx:tx>
        <cx:txData>
          <cx:v>Date of reaching GWLs for three RCPs within the CMIP5 ensemble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600" b="1"/>
          </a:pPr>
          <a:r>
            <a:rPr lang="de-DE" sz="16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Date of reaching GWLs for three RCPs within the CMIP5 ensemble</a:t>
          </a:r>
        </a:p>
      </cx:txPr>
    </cx:title>
    <cx:plotArea>
      <cx:plotAreaRegion>
        <cx:plotSurface>
          <cx:spPr>
            <a:ln>
              <a:noFill/>
            </a:ln>
          </cx:spPr>
        </cx:plotSurface>
        <cx:series layoutId="boxWhisker" uniqueId="{92CD813B-6E13-7B41-BC22-3639C6F0D6EB}" formatIdx="0">
          <cx:tx>
            <cx:txData>
              <cx:f/>
              <cx:v>1.5°C RCP2.6 (7)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 outliers="1"/>
            <cx:statistics quartileMethod="exclusive"/>
          </cx:layoutPr>
        </cx:series>
        <cx:series layoutId="boxWhisker" uniqueId="{00000001-193D-854A-9500-F4E44829579D}" formatIdx="1">
          <cx:tx>
            <cx:txData>
              <cx:f/>
              <cx:v>1.5°C RCP4.5 (7)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2-193D-854A-9500-F4E44829579D}" formatIdx="2">
          <cx:tx>
            <cx:txData>
              <cx:f/>
              <cx:v>1.5°C RCP8.5 (8)</cx:v>
            </cx:txData>
          </cx:tx>
          <cx:spPr>
            <a:solidFill>
              <a:schemeClr val="accent1">
                <a:lumMod val="75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7-193D-854A-9500-F4E44829579D}">
          <cx:dataId val="3"/>
          <cx:layoutPr>
            <cx:statistics quartileMethod="exclusive"/>
          </cx:layoutPr>
        </cx:series>
        <cx:series layoutId="boxWhisker" uniqueId="{00000008-193D-854A-9500-F4E44829579D}">
          <cx:tx>
            <cx:txData>
              <cx:f/>
              <cx:v>2.0°C RCP2.6 (4)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9-193D-854A-9500-F4E44829579D}">
          <cx:tx>
            <cx:txData>
              <cx:f/>
              <cx:v>2.0°C RCP4.5 (7)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A-193D-854A-9500-F4E44829579D}">
          <cx:tx>
            <cx:txData>
              <cx:f/>
              <cx:v>2.0°C RCP8.5 (8)</cx:v>
            </cx:txData>
          </cx:tx>
          <cx:spPr>
            <a:solidFill>
              <a:schemeClr val="accent6">
                <a:lumMod val="75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title>
          <cx:tx>
            <cx:txData>
              <cx:v>Year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400"/>
              </a:pPr>
              <a:r>
                <a:rPr lang="de-DE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Year</a:t>
              </a:r>
            </a:p>
          </cx:txPr>
        </cx:title>
        <cx:majorGridlines/>
        <cx:majorTickMarks type="out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de-DE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400"/>
          </a:pPr>
          <a:endParaRPr lang="de-DE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_xlchart.v1.22</cx:f>
      </cx:numDim>
    </cx:data>
    <cx:data id="1">
      <cx:numDim type="val">
        <cx:f>_xlchart.v1.19</cx:f>
      </cx:numDim>
    </cx:data>
    <cx:data id="2">
      <cx:numDim type="val">
        <cx:f>_xlchart.v1.20</cx:f>
      </cx:numDim>
    </cx:data>
    <cx:data id="3">
      <cx:numDim type="val">
        <cx:f>_xlchart.v1.21</cx:f>
      </cx:numDim>
    </cx:data>
    <cx:data id="4"/>
    <cx:data id="5">
      <cx:numDim type="val">
        <cx:f>_xlchart.v1.26</cx:f>
      </cx:numDim>
    </cx:data>
    <cx:data id="6">
      <cx:numDim type="val">
        <cx:f>_xlchart.v1.23</cx:f>
      </cx:numDim>
    </cx:data>
    <cx:data id="7">
      <cx:numDim type="val">
        <cx:f>_xlchart.v1.24</cx:f>
      </cx:numDim>
    </cx:data>
    <cx:data id="8">
      <cx:numDim type="val">
        <cx:f>_xlchart.v1.25</cx:f>
      </cx:numDim>
    </cx:data>
  </cx:chartData>
  <cx:chart>
    <cx:title pos="t" align="ctr" overlay="0">
      <cx:tx>
        <cx:txData>
          <cx:v>Date of reaching GWLs for four SSPs within the CMIP6 ensemble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600" b="1"/>
          </a:pPr>
          <a:r>
            <a:rPr lang="de-DE" sz="16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Date of reaching GWLs for four SSPs within the CMIP6 ensemble</a:t>
          </a:r>
        </a:p>
      </cx:txPr>
    </cx:title>
    <cx:plotArea>
      <cx:plotAreaRegion>
        <cx:plotSurface>
          <cx:spPr>
            <a:ln>
              <a:noFill/>
            </a:ln>
          </cx:spPr>
        </cx:plotSurface>
        <cx:series layoutId="boxWhisker" uniqueId="{92CD813B-6E13-7B41-BC22-3639C6F0D6EB}" formatIdx="0">
          <cx:tx>
            <cx:txData>
              <cx:f/>
              <cx:v>1.5°C SSP126 (6)</cx:v>
            </cx:txData>
          </cx:tx>
          <cx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 outliers="1"/>
            <cx:statistics quartileMethod="exclusive"/>
          </cx:layoutPr>
        </cx:series>
        <cx:series layoutId="boxWhisker" uniqueId="{00000001-28D6-F44A-AAB0-67386F647F24}">
          <cx:tx>
            <cx:txData>
              <cx:f/>
              <cx:v>1.5°C SSP245 (10)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2-28D6-F44A-AAB0-67386F647F24}">
          <cx:tx>
            <cx:txData>
              <cx:f/>
              <cx:v>1.5°C SSP370 (8)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meanMarker="0" nonoutliers="0" outliers="1"/>
            <cx:statistics quartileMethod="exclusive"/>
          </cx:layoutPr>
        </cx:series>
        <cx:series layoutId="boxWhisker" uniqueId="{00000003-28D6-F44A-AAB0-67386F647F24}">
          <cx:tx>
            <cx:txData>
              <cx:f/>
              <cx:v>1.5°C SSP585 (10)</cx:v>
            </cx:txData>
          </cx:tx>
          <cx:spPr>
            <a:solidFill>
              <a:schemeClr val="accent1">
                <a:lumMod val="75000"/>
              </a:schemeClr>
            </a:solidFill>
            <a:ln>
              <a:solidFill>
                <a:schemeClr val="accent1"/>
              </a:solidFill>
            </a:ln>
          </cx:spPr>
          <cx:dataId val="3"/>
          <cx:layoutPr>
            <cx:visibility meanLine="1" meanMarker="0" nonoutliers="0" outliers="1"/>
            <cx:statistics quartileMethod="exclusive"/>
          </cx:layoutPr>
        </cx:series>
        <cx:series layoutId="boxWhisker" uniqueId="{00000004-28D6-F44A-AAB0-67386F647F24}">
          <cx:dataId val="4"/>
          <cx:layoutPr>
            <cx:statistics quartileMethod="exclusive"/>
          </cx:layoutPr>
        </cx:series>
        <cx:series layoutId="boxWhisker" uniqueId="{00000005-28D6-F44A-AAB0-67386F647F24}">
          <cx:tx>
            <cx:txData>
              <cx:f/>
              <cx:v>2.0°C SSP126 (5)</cx:v>
            </cx:txData>
          </cx:tx>
          <cx:spPr>
            <a:solidFill>
              <a:schemeClr val="accent6">
                <a:lumMod val="20000"/>
                <a:lumOff val="8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6-28D6-F44A-AAB0-67386F647F24}">
          <cx:tx>
            <cx:txData>
              <cx:f/>
              <cx:v>2.0°C SSP245 (10)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meanMarker="0" nonoutliers="0" outliers="1"/>
            <cx:statistics quartileMethod="exclusive"/>
          </cx:layoutPr>
        </cx:series>
        <cx:series layoutId="boxWhisker" uniqueId="{00000007-28D6-F44A-AAB0-67386F647F24}">
          <cx:tx>
            <cx:txData>
              <cx:f/>
              <cx:v>2.0°C SSP370 (8)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7"/>
          <cx:layoutPr>
            <cx:visibility meanLine="1" meanMarker="0" nonoutliers="0"/>
            <cx:statistics quartileMethod="exclusive"/>
          </cx:layoutPr>
        </cx:series>
        <cx:series layoutId="boxWhisker" uniqueId="{00000008-28D6-F44A-AAB0-67386F647F24}">
          <cx:tx>
            <cx:txData>
              <cx:f/>
              <cx:v>2.0°C SSP585 (10)</cx:v>
            </cx:txData>
          </cx:tx>
          <cx:spPr>
            <a:solidFill>
              <a:schemeClr val="accent6">
                <a:lumMod val="75000"/>
              </a:schemeClr>
            </a:solidFill>
            <a:ln>
              <a:solidFill>
                <a:schemeClr val="accent6"/>
              </a:solidFill>
            </a:ln>
          </cx:spPr>
          <cx:dataId val="8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title>
          <cx:tx>
            <cx:txData>
              <cx:v>Year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400"/>
              </a:pPr>
              <a:r>
                <a:rPr lang="de-DE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Year</a:t>
              </a:r>
            </a:p>
          </cx:txPr>
        </cx:title>
        <cx:majorGridlines/>
        <cx:majorTickMarks type="out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de-DE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400"/>
          </a:pPr>
          <a:endParaRPr lang="de-DE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_xlchart.v1.27</cx:f>
      </cx:numDim>
    </cx:data>
    <cx:data id="1">
      <cx:numDim type="val">
        <cx:f>_xlchart.v1.31</cx:f>
      </cx:numDim>
    </cx:data>
    <cx:data id="2"/>
    <cx:data id="3">
      <cx:numDim type="val">
        <cx:f>_xlchart.v1.28</cx:f>
      </cx:numDim>
    </cx:data>
    <cx:data id="4">
      <cx:numDim type="val">
        <cx:f>_xlchart.v1.32</cx:f>
      </cx:numDim>
    </cx:data>
    <cx:data id="5"/>
    <cx:data id="6">
      <cx:numDim type="val">
        <cx:f>_xlchart.v1.29</cx:f>
      </cx:numDim>
    </cx:data>
    <cx:data id="7">
      <cx:numDim type="val">
        <cx:f>_xlchart.v1.33</cx:f>
      </cx:numDim>
    </cx:data>
    <cx:data id="8"/>
    <cx:data id="9">
      <cx:numDim type="val">
        <cx:f>_xlchart.v1.30</cx:f>
      </cx:numDim>
    </cx:data>
    <cx:data id="10">
      <cx:numDim type="val">
        <cx:f>_xlchart.v1.34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de-DE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Regional climate change signal (relative to 1991-2020) over Austria for four GWLs:</a:t>
            </a:r>
          </a:p>
          <a:p>
            <a:pPr algn="ctr" rtl="0">
              <a:defRPr b="1"/>
            </a:pPr>
            <a:r>
              <a:rPr lang="de-DE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CMIP5 vs. CMIP6</a:t>
            </a:r>
          </a:p>
        </cx:rich>
      </cx:tx>
    </cx:title>
    <cx:plotArea>
      <cx:plotAreaRegion>
        <cx:series layoutId="boxWhisker" uniqueId="{00000000-3A1F-314D-96F3-FCEFF558ED6E}">
          <cx:tx>
            <cx:txData>
              <cx:f/>
              <cx:v>1.5°C CMIP5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1-3A1F-314D-96F3-FCEFF558ED6E}">
          <cx:tx>
            <cx:txData>
              <cx:f/>
              <cx:v>1.5°C CMIP6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2-3A1F-314D-96F3-FCEFF558ED6E}">
          <cx:dataId val="2"/>
          <cx:layoutPr>
            <cx:statistics quartileMethod="exclusive"/>
          </cx:layoutPr>
        </cx:series>
        <cx:series layoutId="boxWhisker" uniqueId="{00000003-3A1F-314D-96F3-FCEFF558ED6E}">
          <cx:tx>
            <cx:txData>
              <cx:f/>
              <cx:v>2.0°C CMIP5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3"/>
          <cx:layoutPr>
            <cx:visibility meanLine="1" meanMarker="0" nonoutliers="0" outliers="1"/>
            <cx:statistics quartileMethod="exclusive"/>
          </cx:layoutPr>
        </cx:series>
        <cx:series layoutId="boxWhisker" uniqueId="{00000004-3A1F-314D-96F3-FCEFF558ED6E}">
          <cx:tx>
            <cx:txData>
              <cx:f/>
              <cx:v>2.0°C CMIP6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5-3A1F-314D-96F3-FCEFF558ED6E}">
          <cx:dataId val="5"/>
          <cx:layoutPr>
            <cx:statistics quartileMethod="exclusive"/>
          </cx:layoutPr>
        </cx:series>
        <cx:series layoutId="boxWhisker" uniqueId="{00000006-3A1F-314D-96F3-FCEFF558ED6E}">
          <cx:tx>
            <cx:txData>
              <cx:f/>
              <cx:v>3.0°C CMIP5</cx:v>
            </cx:txData>
          </cx:tx>
          <cx:spPr>
            <a:solidFill>
              <a:schemeClr val="accent2">
                <a:lumMod val="40000"/>
                <a:lumOff val="60000"/>
              </a:schemeClr>
            </a:solidFill>
            <a:ln>
              <a:solidFill>
                <a:schemeClr val="accent2"/>
              </a:solidFill>
            </a:ln>
          </cx:spPr>
          <cx:dataId val="6"/>
          <cx:layoutPr>
            <cx:visibility meanLine="1" meanMarker="0" nonoutliers="0"/>
            <cx:statistics quartileMethod="exclusive"/>
          </cx:layoutPr>
        </cx:series>
        <cx:series layoutId="boxWhisker" uniqueId="{00000007-3A1F-314D-96F3-FCEFF558ED6E}">
          <cx:tx>
            <cx:txData>
              <cx:f/>
              <cx:v>3.0°C CMIP6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7"/>
          <cx:layoutPr>
            <cx:visibility meanLine="1" meanMarker="0" nonoutliers="0"/>
            <cx:statistics quartileMethod="exclusive"/>
          </cx:layoutPr>
        </cx:series>
        <cx:series layoutId="boxWhisker" uniqueId="{00000008-3A1F-314D-96F3-FCEFF558ED6E}">
          <cx:dataId val="8"/>
          <cx:layoutPr>
            <cx:statistics quartileMethod="exclusive"/>
          </cx:layoutPr>
        </cx:series>
        <cx:series layoutId="boxWhisker" uniqueId="{00000009-3A1F-314D-96F3-FCEFF558ED6E}">
          <cx:tx>
            <cx:txData>
              <cx:f/>
              <cx:v>4.0°C CMIP5</cx:v>
            </cx:txData>
          </cx:tx>
          <cx:spPr>
            <a:solidFill>
              <a:schemeClr val="tx1">
                <a:lumMod val="65000"/>
                <a:lumOff val="35000"/>
              </a:schemeClr>
            </a:solidFill>
            <a:ln>
              <a:solidFill>
                <a:schemeClr val="tx1"/>
              </a:solidFill>
            </a:ln>
          </cx:spPr>
          <cx:dataId val="9"/>
          <cx:layoutPr>
            <cx:visibility meanLine="1" meanMarker="0" nonoutliers="0"/>
            <cx:statistics quartileMethod="exclusive"/>
          </cx:layoutPr>
        </cx:series>
        <cx:series layoutId="boxWhisker" uniqueId="{0000000A-3A1F-314D-96F3-FCEFF558ED6E}">
          <cx:tx>
            <cx:txData>
              <cx:f/>
              <cx:v>4.0°C CMIP6</cx:v>
            </cx:txData>
          </cx:tx>
          <cx:spPr>
            <a:solidFill>
              <a:schemeClr val="tx1">
                <a:lumMod val="75000"/>
                <a:lumOff val="25000"/>
              </a:schemeClr>
            </a:solidFill>
            <a:ln>
              <a:solidFill>
                <a:schemeClr val="tx1"/>
              </a:solidFill>
            </a:ln>
          </cx:spPr>
          <cx:dataId val="10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5" min="0"/>
        <cx:title>
          <cx:tx>
            <cx:txData>
              <cx:v>Mean temperature change relative to 1991-2020 (°C)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200"/>
              </a:pPr>
              <a:r>
                <a:rPr lang="de-DE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Mean temperature change relative to 1991-2020 (°C)</a:t>
              </a:r>
            </a:p>
          </cx:txPr>
        </cx:title>
        <cx:majorGridlines/>
        <cx:majorTickMarks type="out"/>
        <cx:tickLabels/>
        <cx:numFmt formatCode="0.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de-DE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1">
      <cx:spPr>
        <a:solidFill>
          <a:schemeClr val="bg1"/>
        </a:solidFill>
        <a:ln>
          <a:solidFill>
            <a:srgbClr val="DADADA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/>
          </a:pPr>
          <a:endParaRPr lang="de-DE" sz="12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2446655-1AB5-4E4D-8BAB-0B0C1FAA8780}">
  <sheetPr/>
  <sheetViews>
    <sheetView zoomScale="126" workbookViewId="0"/>
  </sheetViews>
  <pageMargins left="0.7" right="0.7" top="0.78740157499999996" bottom="0.78740157499999996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E423599-8E27-8042-B5B6-09ACCA2F49E9}">
  <sheetPr/>
  <sheetViews>
    <sheetView zoomScale="95" workbookViewId="0"/>
  </sheetViews>
  <pageMargins left="0.7" right="0.7" top="0.78740157499999996" bottom="0.78740157499999996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850550D-49AF-3142-94C0-C0EB13DCE9E3}">
  <sheetPr/>
  <sheetViews>
    <sheetView zoomScale="95" workbookViewId="0"/>
  </sheetViews>
  <pageMargins left="0.7" right="0.7" top="0.78740157499999996" bottom="0.78740157499999996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1644377-E7AA-444F-8468-BD962E936055}">
  <sheetPr/>
  <sheetViews>
    <sheetView zoomScale="136" workbookViewId="0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microsoft.com/office/2014/relationships/chartEx" Target="../charts/chartEx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microsoft.com/office/2014/relationships/chartEx" Target="../charts/chartEx3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17381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8B0006D6-9B94-C729-F109-855C29EBE831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20F22FDB-1BBB-36D1-5572-6C2C76E09570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3333" cy="6017381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4421" cy="6015789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92EE94C2-7835-77C8-F3E3-76CE0548CBEA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4AB2EE71-5B19-BF0F-9A0F-BB375099F085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04421" cy="6015789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4421" cy="6015789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3DB93000-C289-11B5-B888-9442A36C4C24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8F8B88A5-D493-678B-0A95-C2213A77D2BA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04421" cy="6015789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19559" cy="6032500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CE6A17DE-8724-6B01-4190-DD725C052D42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6DE7AD23-3FDC-038E-A653-446C0ECB15BB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9559" cy="6032500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becsi/Desktop/Arbeit/Qgis/data/AAR2/GWLs/GWLs_CMIP5_OEKS15.xlsx" TargetMode="External"/><Relationship Id="rId1" Type="http://schemas.openxmlformats.org/officeDocument/2006/relationships/externalLinkPath" Target="GWLs_CMIP5_OEKS1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becsi/Desktop/Arbeit/Qgis/data/AAR2/GWLs/GWLs_CMIP5_all_models.xlsx" TargetMode="External"/><Relationship Id="rId1" Type="http://schemas.openxmlformats.org/officeDocument/2006/relationships/externalLinkPath" Target="GWLs_CMIP5_all_mode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ookup_table"/>
      <sheetName val="Tabelle2"/>
      <sheetName val="Tabelle1"/>
      <sheetName val="year_of_reaching_gwl_all_mods"/>
      <sheetName val="year_of _reaching_gwl_CM5_CM6"/>
      <sheetName val="year_of_reaching_diff"/>
      <sheetName val="gwl_date"/>
      <sheetName val="gwl_rcps"/>
      <sheetName val="gwl_ccs_AUT"/>
      <sheetName val="ccs_aut_gcm vs. ccs_oeks15"/>
      <sheetName val="ccs_aut_oeks gwl vs rcp"/>
    </sheetNames>
    <sheetDataSet>
      <sheetData sheetId="0"/>
      <sheetData sheetId="1">
        <row r="3">
          <cell r="C3">
            <v>2024</v>
          </cell>
        </row>
        <row r="4">
          <cell r="C4">
            <v>2024</v>
          </cell>
        </row>
        <row r="5">
          <cell r="C5">
            <v>2024</v>
          </cell>
        </row>
        <row r="6">
          <cell r="C6">
            <v>2024</v>
          </cell>
        </row>
        <row r="7">
          <cell r="C7">
            <v>2023</v>
          </cell>
        </row>
        <row r="8">
          <cell r="C8">
            <v>2023</v>
          </cell>
        </row>
        <row r="9">
          <cell r="C9">
            <v>2017</v>
          </cell>
        </row>
        <row r="10">
          <cell r="C10">
            <v>2038</v>
          </cell>
          <cell r="D10">
            <v>2059</v>
          </cell>
        </row>
        <row r="11">
          <cell r="C11">
            <v>2038</v>
          </cell>
          <cell r="D11">
            <v>2059</v>
          </cell>
        </row>
        <row r="12">
          <cell r="C12">
            <v>2038</v>
          </cell>
          <cell r="D12">
            <v>2059</v>
          </cell>
        </row>
        <row r="13">
          <cell r="C13">
            <v>2023</v>
          </cell>
          <cell r="D13">
            <v>2045</v>
          </cell>
        </row>
        <row r="14">
          <cell r="C14">
            <v>2023</v>
          </cell>
          <cell r="D14">
            <v>2045</v>
          </cell>
        </row>
        <row r="15">
          <cell r="C15">
            <v>2023</v>
          </cell>
          <cell r="D15">
            <v>2045</v>
          </cell>
        </row>
        <row r="16">
          <cell r="C16">
            <v>2029</v>
          </cell>
          <cell r="D16">
            <v>2044</v>
          </cell>
          <cell r="E16">
            <v>2079</v>
          </cell>
        </row>
        <row r="17">
          <cell r="C17">
            <v>2029</v>
          </cell>
          <cell r="D17">
            <v>2044</v>
          </cell>
          <cell r="E17">
            <v>2079</v>
          </cell>
        </row>
        <row r="18">
          <cell r="C18">
            <v>2017</v>
          </cell>
          <cell r="D18">
            <v>2034</v>
          </cell>
          <cell r="E18">
            <v>2078</v>
          </cell>
        </row>
        <row r="19">
          <cell r="C19">
            <v>2017</v>
          </cell>
          <cell r="D19">
            <v>2034</v>
          </cell>
          <cell r="E19">
            <v>2078</v>
          </cell>
        </row>
        <row r="20">
          <cell r="C20">
            <v>2023</v>
          </cell>
          <cell r="D20">
            <v>2045</v>
          </cell>
        </row>
        <row r="21">
          <cell r="C21">
            <v>2023</v>
          </cell>
          <cell r="D21">
            <v>2045</v>
          </cell>
        </row>
        <row r="22">
          <cell r="C22">
            <v>2031</v>
          </cell>
          <cell r="D22">
            <v>2046</v>
          </cell>
          <cell r="E22">
            <v>2068</v>
          </cell>
          <cell r="F22">
            <v>2088</v>
          </cell>
        </row>
        <row r="23">
          <cell r="C23">
            <v>2031</v>
          </cell>
          <cell r="D23">
            <v>2046</v>
          </cell>
          <cell r="E23">
            <v>2068</v>
          </cell>
          <cell r="F23">
            <v>2088</v>
          </cell>
        </row>
        <row r="24">
          <cell r="C24">
            <v>2031</v>
          </cell>
          <cell r="D24">
            <v>2046</v>
          </cell>
          <cell r="E24">
            <v>2068</v>
          </cell>
          <cell r="F24">
            <v>2088</v>
          </cell>
        </row>
        <row r="25">
          <cell r="C25">
            <v>2019</v>
          </cell>
          <cell r="D25">
            <v>2035</v>
          </cell>
          <cell r="E25">
            <v>2061</v>
          </cell>
        </row>
        <row r="26">
          <cell r="C26">
            <v>2019</v>
          </cell>
          <cell r="D26">
            <v>2035</v>
          </cell>
          <cell r="E26">
            <v>2061</v>
          </cell>
        </row>
        <row r="27">
          <cell r="C27">
            <v>2020</v>
          </cell>
          <cell r="D27">
            <v>2036</v>
          </cell>
          <cell r="E27">
            <v>2062</v>
          </cell>
          <cell r="F27">
            <v>2083</v>
          </cell>
        </row>
        <row r="28">
          <cell r="C28">
            <v>2024</v>
          </cell>
          <cell r="D28">
            <v>2036</v>
          </cell>
          <cell r="E28">
            <v>2055</v>
          </cell>
          <cell r="F28">
            <v>2072</v>
          </cell>
        </row>
        <row r="29">
          <cell r="C29">
            <v>2024</v>
          </cell>
          <cell r="D29">
            <v>2036</v>
          </cell>
          <cell r="E29">
            <v>2055</v>
          </cell>
          <cell r="F29">
            <v>2072</v>
          </cell>
        </row>
        <row r="30">
          <cell r="C30">
            <v>2016</v>
          </cell>
          <cell r="D30">
            <v>2031</v>
          </cell>
          <cell r="E30">
            <v>2051</v>
          </cell>
          <cell r="F30">
            <v>2067</v>
          </cell>
        </row>
        <row r="31">
          <cell r="C31">
            <v>2016</v>
          </cell>
          <cell r="D31">
            <v>2031</v>
          </cell>
          <cell r="E31">
            <v>2051</v>
          </cell>
          <cell r="F31">
            <v>2067</v>
          </cell>
        </row>
        <row r="32">
          <cell r="C32">
            <v>2018</v>
          </cell>
          <cell r="D32">
            <v>2038</v>
          </cell>
          <cell r="E32">
            <v>2062</v>
          </cell>
          <cell r="F32">
            <v>2082</v>
          </cell>
        </row>
        <row r="33">
          <cell r="C33">
            <v>2018</v>
          </cell>
          <cell r="D33">
            <v>2038</v>
          </cell>
          <cell r="E33">
            <v>2062</v>
          </cell>
          <cell r="F33">
            <v>2082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2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BA8D8-38A6-D64C-8995-1DD32E209727}">
  <dimension ref="A1:X45"/>
  <sheetViews>
    <sheetView tabSelected="1" workbookViewId="0">
      <selection activeCell="S29" sqref="S29"/>
    </sheetView>
  </sheetViews>
  <sheetFormatPr baseColWidth="10" defaultRowHeight="16" x14ac:dyDescent="0.2"/>
  <cols>
    <col min="1" max="1" width="47" bestFit="1" customWidth="1"/>
    <col min="2" max="2" width="6.83203125" bestFit="1" customWidth="1"/>
    <col min="24" max="24" width="12.1640625" bestFit="1" customWidth="1"/>
  </cols>
  <sheetData>
    <row r="1" spans="1:24" x14ac:dyDescent="0.2">
      <c r="A1" s="1" t="s">
        <v>0</v>
      </c>
      <c r="B1" s="1"/>
      <c r="C1" s="5" t="s">
        <v>1</v>
      </c>
      <c r="D1" s="5"/>
      <c r="E1" s="5"/>
      <c r="F1" s="5"/>
      <c r="G1" s="5" t="s">
        <v>2</v>
      </c>
      <c r="H1" s="5"/>
      <c r="I1" s="5"/>
      <c r="J1" s="5"/>
      <c r="K1" s="5" t="s">
        <v>114</v>
      </c>
      <c r="L1" s="5"/>
      <c r="M1" s="5"/>
      <c r="N1" s="5"/>
      <c r="O1" s="5" t="s">
        <v>158</v>
      </c>
      <c r="P1" s="5"/>
      <c r="Q1" s="5"/>
      <c r="R1" s="5"/>
      <c r="S1" s="5" t="s">
        <v>159</v>
      </c>
      <c r="T1" s="5"/>
      <c r="U1" s="5"/>
      <c r="V1" s="5"/>
    </row>
    <row r="2" spans="1:24" x14ac:dyDescent="0.2">
      <c r="A2" s="1" t="s">
        <v>3</v>
      </c>
      <c r="B2" s="1" t="s">
        <v>146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4</v>
      </c>
      <c r="L2" s="1" t="s">
        <v>5</v>
      </c>
      <c r="M2" s="1" t="s">
        <v>6</v>
      </c>
      <c r="N2" s="1" t="s">
        <v>7</v>
      </c>
      <c r="O2" s="1" t="s">
        <v>4</v>
      </c>
      <c r="P2" s="1" t="s">
        <v>5</v>
      </c>
      <c r="Q2" s="1" t="s">
        <v>6</v>
      </c>
      <c r="R2" s="1" t="s">
        <v>7</v>
      </c>
      <c r="S2" s="1" t="s">
        <v>4</v>
      </c>
      <c r="T2" s="1" t="s">
        <v>5</v>
      </c>
      <c r="U2" s="1" t="s">
        <v>6</v>
      </c>
      <c r="V2" s="1" t="s">
        <v>7</v>
      </c>
    </row>
    <row r="3" spans="1:24" x14ac:dyDescent="0.2">
      <c r="A3" t="s">
        <v>9</v>
      </c>
      <c r="B3" t="s">
        <v>147</v>
      </c>
      <c r="C3">
        <v>2013</v>
      </c>
      <c r="D3">
        <v>2025</v>
      </c>
      <c r="G3" t="s">
        <v>10</v>
      </c>
      <c r="H3" t="s">
        <v>11</v>
      </c>
      <c r="K3" s="2">
        <v>0.39268916094745798</v>
      </c>
      <c r="L3" s="2">
        <v>1.12528774120191</v>
      </c>
      <c r="M3" s="2"/>
      <c r="N3" s="2"/>
      <c r="O3" s="2">
        <f>MEDIAN(K3:K40)</f>
        <v>0.70779087429752097</v>
      </c>
      <c r="P3" s="2">
        <f>MEDIAN(L3:L40)</f>
        <v>1.2996490999999999</v>
      </c>
      <c r="Q3" s="2">
        <f>MEDIAN(M3:M40)</f>
        <v>2.5343534742558251</v>
      </c>
      <c r="R3" s="2">
        <f>MEDIAN(N3:N40)</f>
        <v>3.52027187781992</v>
      </c>
      <c r="S3" s="2">
        <f>O3*$X$14</f>
        <v>0.62994520277878241</v>
      </c>
      <c r="T3" s="2">
        <f>P3*$X$14</f>
        <v>1.1567084933856</v>
      </c>
      <c r="U3" s="2">
        <f>Q3*$X$14</f>
        <v>2.2556151417432724</v>
      </c>
      <c r="V3" s="2">
        <f>R3*$X$14</f>
        <v>3.1330982956097739</v>
      </c>
      <c r="W3" t="s">
        <v>115</v>
      </c>
    </row>
    <row r="4" spans="1:24" x14ac:dyDescent="0.2">
      <c r="A4" t="s">
        <v>14</v>
      </c>
      <c r="B4" t="s">
        <v>147</v>
      </c>
      <c r="C4">
        <v>2019</v>
      </c>
      <c r="D4">
        <v>2038</v>
      </c>
      <c r="G4" t="s">
        <v>15</v>
      </c>
      <c r="H4" t="s">
        <v>16</v>
      </c>
      <c r="K4" s="2">
        <v>0.5449524</v>
      </c>
      <c r="L4" s="2">
        <v>1.2996490999999999</v>
      </c>
      <c r="M4" s="2"/>
      <c r="N4" s="2"/>
      <c r="O4">
        <f>_xlfn.PERCENTILE.INC(K3:K40, 0.1)</f>
        <v>0.30939995094586498</v>
      </c>
      <c r="P4">
        <f>_xlfn.PERCENTILE.INC(L3:L40, 0.1)</f>
        <v>0.91385210955591345</v>
      </c>
      <c r="Q4">
        <f>_xlfn.PERCENTILE.INC(M3:M40, 0.1)</f>
        <v>2.046051162747907</v>
      </c>
      <c r="R4">
        <f>_xlfn.PERCENTILE.INC(N3:N40, 0.1)</f>
        <v>3.339906805131224</v>
      </c>
      <c r="S4" s="2">
        <f>O4*$X$14</f>
        <v>0.27537090674103498</v>
      </c>
      <c r="T4" s="2">
        <f>P4*$X$14</f>
        <v>0.81334299913851593</v>
      </c>
      <c r="U4" s="2">
        <f>Q4*$X$14</f>
        <v>1.8210182716642414</v>
      </c>
      <c r="V4" s="2">
        <f>R4*$X$14</f>
        <v>2.9725704950756717</v>
      </c>
      <c r="W4" t="s">
        <v>154</v>
      </c>
    </row>
    <row r="5" spans="1:24" x14ac:dyDescent="0.2">
      <c r="A5" t="s">
        <v>24</v>
      </c>
      <c r="B5" t="s">
        <v>148</v>
      </c>
      <c r="C5">
        <v>2042</v>
      </c>
      <c r="G5" t="s">
        <v>25</v>
      </c>
      <c r="K5" s="2">
        <v>0.50765736677745898</v>
      </c>
      <c r="L5" s="2"/>
      <c r="M5" s="2"/>
      <c r="N5" s="2"/>
      <c r="O5">
        <f>_xlfn.PERCENTILE.INC(K3:K40, 0.25)</f>
        <v>0.42373448052118845</v>
      </c>
      <c r="P5">
        <f t="shared" ref="P5:R5" si="0">_xlfn.PERCENTILE.INC(L3:L40, 0.25)</f>
        <v>0.99799558046758508</v>
      </c>
      <c r="Q5">
        <f t="shared" si="0"/>
        <v>2.3017558150316049</v>
      </c>
      <c r="R5">
        <f t="shared" si="0"/>
        <v>3.4588945566587102</v>
      </c>
      <c r="S5" s="2">
        <f>O5*$X$14</f>
        <v>0.37713046741554607</v>
      </c>
      <c r="T5" s="2">
        <f>P5*$X$14</f>
        <v>0.8882320345454382</v>
      </c>
      <c r="U5" s="2">
        <f>Q5*$X$14</f>
        <v>2.048599503471169</v>
      </c>
      <c r="V5" s="2">
        <f>R5*$X$14</f>
        <v>3.0784714977391587</v>
      </c>
      <c r="W5" t="s">
        <v>155</v>
      </c>
    </row>
    <row r="6" spans="1:24" x14ac:dyDescent="0.2">
      <c r="A6" t="s">
        <v>39</v>
      </c>
      <c r="B6" t="s">
        <v>148</v>
      </c>
      <c r="C6">
        <v>2014</v>
      </c>
      <c r="D6">
        <v>2027</v>
      </c>
      <c r="G6" t="s">
        <v>40</v>
      </c>
      <c r="H6" t="s">
        <v>29</v>
      </c>
      <c r="K6" s="2">
        <v>0.44814990008318001</v>
      </c>
      <c r="L6" s="2">
        <v>0.91811225325973</v>
      </c>
      <c r="M6" s="2"/>
      <c r="N6" s="2"/>
      <c r="O6">
        <f>_xlfn.PERCENTILE.INC(K3:K40, 0.75)</f>
        <v>1.11225858012673</v>
      </c>
      <c r="P6">
        <f t="shared" ref="P6:R6" si="1">_xlfn.PERCENTILE.INC(L3:L40, 0.75)</f>
        <v>1.8485991304645699</v>
      </c>
      <c r="Q6">
        <f t="shared" si="1"/>
        <v>2.99392916888893</v>
      </c>
      <c r="R6">
        <f t="shared" si="1"/>
        <v>3.7640512307108902</v>
      </c>
      <c r="S6" s="2">
        <f>O6*$X$14</f>
        <v>0.98992793245007171</v>
      </c>
      <c r="T6" s="2">
        <f>P6*$X$14</f>
        <v>1.6452828036995548</v>
      </c>
      <c r="U6" s="2">
        <f>Q6*$X$14</f>
        <v>2.6646448631778501</v>
      </c>
      <c r="V6" s="2">
        <f>R6*$X$14</f>
        <v>3.3500658201523836</v>
      </c>
      <c r="W6" t="s">
        <v>156</v>
      </c>
    </row>
    <row r="7" spans="1:24" x14ac:dyDescent="0.2">
      <c r="A7" t="s">
        <v>36</v>
      </c>
      <c r="B7" t="s">
        <v>148</v>
      </c>
      <c r="C7">
        <v>2010</v>
      </c>
      <c r="D7">
        <v>2021</v>
      </c>
      <c r="G7" t="s">
        <v>37</v>
      </c>
      <c r="H7" t="s">
        <v>38</v>
      </c>
      <c r="K7" s="2">
        <v>0.214749413949505</v>
      </c>
      <c r="L7" s="2">
        <v>0.45363177546752198</v>
      </c>
      <c r="M7" s="2"/>
      <c r="N7" s="2"/>
      <c r="O7">
        <f>_xlfn.PERCENTILE.INC(K3:K40, 0.9)</f>
        <v>1.4237366892492251</v>
      </c>
      <c r="P7">
        <f t="shared" ref="P7:R7" si="2">_xlfn.PERCENTILE.INC(L3:L40, 0.9)</f>
        <v>2.046066781590504</v>
      </c>
      <c r="Q7">
        <f t="shared" si="2"/>
        <v>3.3087344173273978</v>
      </c>
      <c r="R7">
        <f t="shared" si="2"/>
        <v>4.3098857941212074</v>
      </c>
      <c r="S7" s="2">
        <f>O7*$X$14</f>
        <v>1.2671484332188383</v>
      </c>
      <c r="T7" s="2">
        <f>P7*$X$14</f>
        <v>1.8210321726840542</v>
      </c>
      <c r="U7" s="2">
        <f>Q7*$X$14</f>
        <v>2.9448265711720616</v>
      </c>
      <c r="V7" s="2">
        <f>R7*$X$14</f>
        <v>3.8358673149405806</v>
      </c>
      <c r="W7" t="s">
        <v>157</v>
      </c>
    </row>
    <row r="8" spans="1:24" x14ac:dyDescent="0.2">
      <c r="A8" t="s">
        <v>34</v>
      </c>
      <c r="B8" t="s">
        <v>148</v>
      </c>
      <c r="C8">
        <v>2028</v>
      </c>
      <c r="D8">
        <v>2060</v>
      </c>
      <c r="G8" t="s">
        <v>19</v>
      </c>
      <c r="H8" t="s">
        <v>26</v>
      </c>
      <c r="K8" s="2">
        <v>0.68443506444989699</v>
      </c>
      <c r="L8" s="2">
        <v>1.4934826904101901</v>
      </c>
      <c r="M8" s="2"/>
      <c r="N8" s="2"/>
    </row>
    <row r="9" spans="1:24" x14ac:dyDescent="0.2">
      <c r="A9" t="s">
        <v>32</v>
      </c>
      <c r="B9" t="s">
        <v>148</v>
      </c>
      <c r="C9">
        <v>2018</v>
      </c>
      <c r="D9">
        <v>2031</v>
      </c>
      <c r="G9" t="s">
        <v>33</v>
      </c>
      <c r="H9" t="s">
        <v>17</v>
      </c>
      <c r="K9" s="2">
        <v>0.71423186692603902</v>
      </c>
      <c r="L9" s="2">
        <v>0.94311847540844496</v>
      </c>
      <c r="M9" s="2"/>
      <c r="N9" s="2"/>
    </row>
    <row r="10" spans="1:24" x14ac:dyDescent="0.2">
      <c r="A10" t="s">
        <v>49</v>
      </c>
      <c r="B10" t="s">
        <v>148</v>
      </c>
      <c r="C10">
        <v>2020</v>
      </c>
      <c r="D10">
        <v>2039</v>
      </c>
      <c r="G10" t="s">
        <v>50</v>
      </c>
      <c r="H10" t="s">
        <v>28</v>
      </c>
      <c r="K10" s="2">
        <v>0.48637999999999998</v>
      </c>
      <c r="L10" s="2">
        <v>0.99413149999999995</v>
      </c>
      <c r="M10" s="2"/>
      <c r="N10" s="2"/>
    </row>
    <row r="11" spans="1:24" x14ac:dyDescent="0.2">
      <c r="A11" t="s">
        <v>53</v>
      </c>
      <c r="B11" t="s">
        <v>148</v>
      </c>
      <c r="K11" s="2"/>
      <c r="L11" s="2"/>
      <c r="M11" s="2"/>
      <c r="N11" s="2"/>
    </row>
    <row r="12" spans="1:24" x14ac:dyDescent="0.2">
      <c r="A12" t="s">
        <v>54</v>
      </c>
      <c r="B12" t="s">
        <v>148</v>
      </c>
      <c r="K12" s="2"/>
      <c r="L12" s="2"/>
      <c r="M12" s="2"/>
      <c r="N12" s="2"/>
    </row>
    <row r="13" spans="1:24" x14ac:dyDescent="0.2">
      <c r="A13" t="s">
        <v>55</v>
      </c>
      <c r="B13" t="s">
        <v>149</v>
      </c>
      <c r="C13">
        <v>2036</v>
      </c>
      <c r="D13">
        <v>2058</v>
      </c>
      <c r="G13" t="s">
        <v>56</v>
      </c>
      <c r="H13" t="s">
        <v>57</v>
      </c>
      <c r="K13" s="2">
        <v>1.24800717137679</v>
      </c>
      <c r="L13" s="2">
        <v>1.79025508687392</v>
      </c>
      <c r="M13" s="2"/>
      <c r="N13" s="2"/>
      <c r="X13" t="s">
        <v>153</v>
      </c>
    </row>
    <row r="14" spans="1:24" x14ac:dyDescent="0.2">
      <c r="A14" t="s">
        <v>70</v>
      </c>
      <c r="B14" t="s">
        <v>149</v>
      </c>
      <c r="C14">
        <v>2014</v>
      </c>
      <c r="D14">
        <v>2025</v>
      </c>
      <c r="E14">
        <v>2050</v>
      </c>
      <c r="F14">
        <v>2084</v>
      </c>
      <c r="G14" t="s">
        <v>40</v>
      </c>
      <c r="H14" t="s">
        <v>11</v>
      </c>
      <c r="I14" t="s">
        <v>52</v>
      </c>
      <c r="J14" t="s">
        <v>71</v>
      </c>
      <c r="K14" s="2">
        <v>0.39986685293692897</v>
      </c>
      <c r="L14" s="2">
        <v>1.07768163327819</v>
      </c>
      <c r="M14" s="2">
        <v>2.4992855354591899</v>
      </c>
      <c r="N14" s="2">
        <v>3.4649832266348399</v>
      </c>
      <c r="X14">
        <v>0.89001600000000003</v>
      </c>
    </row>
    <row r="15" spans="1:24" x14ac:dyDescent="0.2">
      <c r="A15" t="s">
        <v>67</v>
      </c>
      <c r="B15" t="s">
        <v>149</v>
      </c>
      <c r="C15">
        <v>2010</v>
      </c>
      <c r="D15">
        <v>2021</v>
      </c>
      <c r="E15">
        <v>2045</v>
      </c>
      <c r="F15">
        <v>2081</v>
      </c>
      <c r="G15" t="s">
        <v>37</v>
      </c>
      <c r="H15" t="s">
        <v>38</v>
      </c>
      <c r="I15" t="s">
        <v>68</v>
      </c>
      <c r="J15" t="s">
        <v>69</v>
      </c>
      <c r="K15" s="2">
        <v>0.247648154364804</v>
      </c>
      <c r="L15" s="2">
        <v>0.91101201375336904</v>
      </c>
      <c r="M15" s="2">
        <v>1.9685270945232201</v>
      </c>
      <c r="N15" s="2">
        <v>3.1466245015463401</v>
      </c>
    </row>
    <row r="16" spans="1:24" x14ac:dyDescent="0.2">
      <c r="A16" t="s">
        <v>64</v>
      </c>
      <c r="B16" t="s">
        <v>149</v>
      </c>
      <c r="C16">
        <v>2031</v>
      </c>
      <c r="D16">
        <v>2049</v>
      </c>
      <c r="E16">
        <v>2085</v>
      </c>
      <c r="G16" t="s">
        <v>17</v>
      </c>
      <c r="H16" t="s">
        <v>65</v>
      </c>
      <c r="I16" t="s">
        <v>66</v>
      </c>
      <c r="K16" s="2">
        <v>0.79185877975170005</v>
      </c>
      <c r="L16" s="2">
        <v>0.94604524693873704</v>
      </c>
      <c r="M16" s="2">
        <v>1.9276448337221399</v>
      </c>
      <c r="N16" s="2"/>
    </row>
    <row r="17" spans="1:14" x14ac:dyDescent="0.2">
      <c r="A17" t="s">
        <v>62</v>
      </c>
      <c r="B17" t="s">
        <v>149</v>
      </c>
      <c r="C17">
        <v>2020</v>
      </c>
      <c r="D17">
        <v>2034</v>
      </c>
      <c r="E17">
        <v>2063</v>
      </c>
      <c r="G17" t="s">
        <v>50</v>
      </c>
      <c r="H17" t="s">
        <v>63</v>
      </c>
      <c r="I17" t="s">
        <v>51</v>
      </c>
      <c r="K17" s="2">
        <v>0.65928880106152898</v>
      </c>
      <c r="L17" s="2">
        <v>1.27930423687614</v>
      </c>
      <c r="M17" s="2">
        <v>2.4659900553596299</v>
      </c>
      <c r="N17" s="2"/>
    </row>
    <row r="18" spans="1:14" x14ac:dyDescent="0.2">
      <c r="A18" t="s">
        <v>76</v>
      </c>
      <c r="B18" t="s">
        <v>149</v>
      </c>
      <c r="C18">
        <v>2032</v>
      </c>
      <c r="D18">
        <v>2050</v>
      </c>
      <c r="G18" t="s">
        <v>31</v>
      </c>
      <c r="H18" t="s">
        <v>52</v>
      </c>
      <c r="K18" s="2">
        <v>0.99720703714845305</v>
      </c>
      <c r="L18" s="2">
        <v>1.6772889300680101</v>
      </c>
      <c r="M18" s="2"/>
      <c r="N18" s="2"/>
    </row>
    <row r="19" spans="1:14" x14ac:dyDescent="0.2">
      <c r="A19" t="s">
        <v>77</v>
      </c>
      <c r="B19" t="s">
        <v>149</v>
      </c>
      <c r="C19">
        <v>2032</v>
      </c>
      <c r="D19">
        <v>2050</v>
      </c>
      <c r="G19" t="s">
        <v>31</v>
      </c>
      <c r="H19" t="s">
        <v>52</v>
      </c>
      <c r="K19" s="2">
        <v>0.98323817518911405</v>
      </c>
      <c r="L19" s="2">
        <v>1.65557634817044</v>
      </c>
      <c r="M19" s="2"/>
      <c r="N19" s="2"/>
    </row>
    <row r="20" spans="1:14" x14ac:dyDescent="0.2">
      <c r="A20" t="s">
        <v>81</v>
      </c>
      <c r="B20" t="s">
        <v>149</v>
      </c>
      <c r="C20">
        <v>2019</v>
      </c>
      <c r="D20">
        <v>2034</v>
      </c>
      <c r="E20">
        <v>2066</v>
      </c>
      <c r="G20" t="s">
        <v>15</v>
      </c>
      <c r="H20" t="s">
        <v>63</v>
      </c>
      <c r="I20" t="s">
        <v>61</v>
      </c>
      <c r="K20" s="2">
        <v>0.52504269999999997</v>
      </c>
      <c r="L20" s="2">
        <v>1.4451324999999999</v>
      </c>
      <c r="M20" s="2">
        <v>2.7629134999999998</v>
      </c>
      <c r="N20" s="2"/>
    </row>
    <row r="21" spans="1:14" x14ac:dyDescent="0.2">
      <c r="A21" t="s">
        <v>82</v>
      </c>
      <c r="B21" t="s">
        <v>149</v>
      </c>
      <c r="C21">
        <v>2056</v>
      </c>
      <c r="D21">
        <v>2086</v>
      </c>
      <c r="G21" t="s">
        <v>58</v>
      </c>
      <c r="H21" t="s">
        <v>74</v>
      </c>
      <c r="K21" s="2">
        <v>1.6532092765525299</v>
      </c>
      <c r="L21" s="2">
        <v>2.1603128362584698</v>
      </c>
      <c r="M21" s="2"/>
      <c r="N21" s="2"/>
    </row>
    <row r="22" spans="1:14" x14ac:dyDescent="0.2">
      <c r="A22" t="s">
        <v>83</v>
      </c>
      <c r="B22" t="s">
        <v>149</v>
      </c>
      <c r="C22">
        <v>2047</v>
      </c>
      <c r="D22">
        <v>2079</v>
      </c>
      <c r="G22" t="s">
        <v>78</v>
      </c>
      <c r="H22" t="s">
        <v>48</v>
      </c>
      <c r="K22" s="2">
        <v>1.4766804064679699</v>
      </c>
      <c r="L22" s="2">
        <v>1.9302608195684401</v>
      </c>
      <c r="M22" s="2"/>
      <c r="N22" s="2"/>
    </row>
    <row r="23" spans="1:14" x14ac:dyDescent="0.2">
      <c r="A23" t="s">
        <v>86</v>
      </c>
      <c r="B23" t="s">
        <v>150</v>
      </c>
      <c r="C23">
        <v>2033</v>
      </c>
      <c r="D23">
        <v>2047</v>
      </c>
      <c r="E23">
        <v>2075</v>
      </c>
      <c r="G23" t="s">
        <v>75</v>
      </c>
      <c r="H23" t="s">
        <v>78</v>
      </c>
      <c r="I23" t="s">
        <v>87</v>
      </c>
      <c r="K23" s="2">
        <v>0.99175239911429003</v>
      </c>
      <c r="L23" s="2">
        <v>2.0308371339899698</v>
      </c>
      <c r="M23" s="2">
        <v>3.1576496725510599</v>
      </c>
      <c r="N23" s="2"/>
    </row>
    <row r="24" spans="1:14" x14ac:dyDescent="0.2">
      <c r="A24" t="s">
        <v>94</v>
      </c>
      <c r="B24" t="s">
        <v>150</v>
      </c>
      <c r="C24">
        <v>2014</v>
      </c>
      <c r="D24">
        <v>2024</v>
      </c>
      <c r="E24">
        <v>2044</v>
      </c>
      <c r="F24">
        <v>2060</v>
      </c>
      <c r="G24" t="s">
        <v>40</v>
      </c>
      <c r="H24" t="s">
        <v>30</v>
      </c>
      <c r="I24" t="s">
        <v>41</v>
      </c>
      <c r="J24" t="s">
        <v>26</v>
      </c>
      <c r="K24" s="2">
        <v>0.37115174752692598</v>
      </c>
      <c r="L24" s="2">
        <v>1.11234708715366</v>
      </c>
      <c r="M24" s="2">
        <v>2.2924630200421401</v>
      </c>
      <c r="N24" s="2">
        <v>3.8095987673158902</v>
      </c>
    </row>
    <row r="25" spans="1:14" x14ac:dyDescent="0.2">
      <c r="A25" t="s">
        <v>92</v>
      </c>
      <c r="B25" t="s">
        <v>150</v>
      </c>
      <c r="C25">
        <v>2009</v>
      </c>
      <c r="D25">
        <v>2020</v>
      </c>
      <c r="E25">
        <v>2040</v>
      </c>
      <c r="F25">
        <v>2057</v>
      </c>
      <c r="G25" t="s">
        <v>93</v>
      </c>
      <c r="H25" t="s">
        <v>50</v>
      </c>
      <c r="I25" t="s">
        <v>18</v>
      </c>
      <c r="J25" t="s">
        <v>42</v>
      </c>
      <c r="K25" s="2">
        <v>0.202890579788851</v>
      </c>
      <c r="L25" s="2">
        <v>0.76098490114573802</v>
      </c>
      <c r="M25" s="2">
        <v>2.1102778682003001</v>
      </c>
      <c r="N25" s="2">
        <v>3.5383904068558998</v>
      </c>
    </row>
    <row r="26" spans="1:14" x14ac:dyDescent="0.2">
      <c r="A26" t="s">
        <v>91</v>
      </c>
      <c r="B26" t="s">
        <v>150</v>
      </c>
      <c r="C26">
        <v>2033</v>
      </c>
      <c r="D26">
        <v>2046</v>
      </c>
      <c r="E26">
        <v>2067</v>
      </c>
      <c r="F26">
        <v>2084</v>
      </c>
      <c r="G26" t="s">
        <v>75</v>
      </c>
      <c r="H26" t="s">
        <v>46</v>
      </c>
      <c r="I26" t="s">
        <v>60</v>
      </c>
      <c r="J26" t="s">
        <v>71</v>
      </c>
      <c r="K26" s="2">
        <v>0.72322779682271798</v>
      </c>
      <c r="L26" s="2">
        <v>1.2460704672045699</v>
      </c>
      <c r="M26" s="2">
        <v>2.3489683580133098</v>
      </c>
      <c r="N26" s="2">
        <v>3.5346176677093801</v>
      </c>
    </row>
    <row r="27" spans="1:14" x14ac:dyDescent="0.2">
      <c r="A27" t="s">
        <v>89</v>
      </c>
      <c r="B27" t="s">
        <v>150</v>
      </c>
      <c r="C27">
        <v>2020</v>
      </c>
      <c r="D27">
        <v>2033</v>
      </c>
      <c r="E27">
        <v>2058</v>
      </c>
      <c r="F27">
        <v>2077</v>
      </c>
      <c r="G27" t="s">
        <v>50</v>
      </c>
      <c r="H27" t="s">
        <v>75</v>
      </c>
      <c r="I27" t="s">
        <v>57</v>
      </c>
      <c r="J27" t="s">
        <v>90</v>
      </c>
      <c r="K27" s="2">
        <v>0.38601529090168102</v>
      </c>
      <c r="L27" s="2">
        <v>1.1765928095117699</v>
      </c>
      <c r="M27" s="2">
        <v>2.0447804772332998</v>
      </c>
      <c r="N27" s="2">
        <v>3.34699536413342</v>
      </c>
    </row>
    <row r="28" spans="1:14" x14ac:dyDescent="0.2">
      <c r="A28" t="s">
        <v>98</v>
      </c>
      <c r="B28" t="s">
        <v>150</v>
      </c>
      <c r="C28">
        <v>2020</v>
      </c>
      <c r="D28">
        <v>2035</v>
      </c>
      <c r="E28">
        <v>2056</v>
      </c>
      <c r="F28">
        <v>2077</v>
      </c>
      <c r="G28" t="s">
        <v>50</v>
      </c>
      <c r="H28" t="s">
        <v>43</v>
      </c>
      <c r="I28" t="s">
        <v>58</v>
      </c>
      <c r="J28" t="s">
        <v>90</v>
      </c>
      <c r="K28" s="2">
        <v>0.72077789999999997</v>
      </c>
      <c r="L28" s="2">
        <v>1.3950653</v>
      </c>
      <c r="M28" s="2">
        <v>2.3296342000000001</v>
      </c>
      <c r="N28" s="2">
        <v>3.4568650000000001</v>
      </c>
    </row>
    <row r="29" spans="1:14" x14ac:dyDescent="0.2">
      <c r="A29" t="s">
        <v>100</v>
      </c>
      <c r="B29" t="s">
        <v>150</v>
      </c>
      <c r="C29">
        <v>2052</v>
      </c>
      <c r="D29">
        <v>2070</v>
      </c>
      <c r="G29" t="s">
        <v>95</v>
      </c>
      <c r="H29" t="s">
        <v>85</v>
      </c>
      <c r="K29" s="2">
        <v>1.47873513963486</v>
      </c>
      <c r="L29" s="2">
        <v>2.1390993330213699</v>
      </c>
      <c r="M29" s="2"/>
      <c r="N29" s="2"/>
    </row>
    <row r="30" spans="1:14" x14ac:dyDescent="0.2">
      <c r="A30" t="s">
        <v>101</v>
      </c>
      <c r="B30" t="s">
        <v>150</v>
      </c>
      <c r="C30">
        <v>2047</v>
      </c>
      <c r="D30">
        <v>2063</v>
      </c>
      <c r="E30">
        <v>2091</v>
      </c>
      <c r="G30" t="s">
        <v>78</v>
      </c>
      <c r="H30" t="s">
        <v>51</v>
      </c>
      <c r="I30" t="s">
        <v>72</v>
      </c>
      <c r="K30" s="2">
        <v>1.3241218433558199</v>
      </c>
      <c r="L30" s="2">
        <v>2.21944365083219</v>
      </c>
      <c r="M30" s="2">
        <v>3.6687247613706999</v>
      </c>
      <c r="N30" s="2"/>
    </row>
    <row r="31" spans="1:14" x14ac:dyDescent="0.2">
      <c r="A31" t="s">
        <v>102</v>
      </c>
      <c r="B31" t="s">
        <v>151</v>
      </c>
      <c r="C31">
        <v>2031</v>
      </c>
      <c r="D31">
        <v>2044</v>
      </c>
      <c r="E31">
        <v>2066</v>
      </c>
      <c r="G31" t="s">
        <v>17</v>
      </c>
      <c r="H31" t="s">
        <v>41</v>
      </c>
      <c r="I31" t="s">
        <v>61</v>
      </c>
      <c r="K31" s="2">
        <v>1.10620723221233</v>
      </c>
      <c r="L31" s="2">
        <v>1.9836362436988699</v>
      </c>
      <c r="M31" s="2">
        <v>3.30951525175441</v>
      </c>
      <c r="N31" s="2"/>
    </row>
    <row r="32" spans="1:14" x14ac:dyDescent="0.2">
      <c r="A32" t="s">
        <v>108</v>
      </c>
      <c r="B32" t="s">
        <v>151</v>
      </c>
      <c r="C32">
        <v>2013</v>
      </c>
      <c r="D32">
        <v>2023</v>
      </c>
      <c r="E32">
        <v>2041</v>
      </c>
      <c r="F32">
        <v>2055</v>
      </c>
      <c r="G32" t="s">
        <v>10</v>
      </c>
      <c r="H32" t="s">
        <v>22</v>
      </c>
      <c r="I32" t="s">
        <v>45</v>
      </c>
      <c r="J32" t="s">
        <v>79</v>
      </c>
      <c r="K32" s="2">
        <v>0.40323407208475398</v>
      </c>
      <c r="L32" s="2">
        <v>0.99704027529113504</v>
      </c>
      <c r="M32" s="2">
        <v>2.3371529190628499</v>
      </c>
      <c r="N32" s="2">
        <v>3.47663613778573</v>
      </c>
    </row>
    <row r="33" spans="1:14" x14ac:dyDescent="0.2">
      <c r="A33" t="s">
        <v>107</v>
      </c>
      <c r="B33" t="s">
        <v>151</v>
      </c>
      <c r="C33">
        <v>2009</v>
      </c>
      <c r="D33">
        <v>2020</v>
      </c>
      <c r="E33">
        <v>2038</v>
      </c>
      <c r="F33">
        <v>2054</v>
      </c>
      <c r="G33" t="s">
        <v>93</v>
      </c>
      <c r="H33" t="s">
        <v>50</v>
      </c>
      <c r="I33" t="s">
        <v>16</v>
      </c>
      <c r="J33" t="s">
        <v>104</v>
      </c>
      <c r="K33" s="2">
        <v>0.177779995953596</v>
      </c>
      <c r="L33" s="2">
        <v>0.87309575963903396</v>
      </c>
      <c r="M33" s="2">
        <v>2.0574873323793699</v>
      </c>
      <c r="N33" s="2">
        <v>3.3368688512731399</v>
      </c>
    </row>
    <row r="34" spans="1:14" x14ac:dyDescent="0.2">
      <c r="A34" t="s">
        <v>106</v>
      </c>
      <c r="B34" t="s">
        <v>151</v>
      </c>
      <c r="C34">
        <v>2029</v>
      </c>
      <c r="D34">
        <v>2041</v>
      </c>
      <c r="E34">
        <v>2059</v>
      </c>
      <c r="F34">
        <v>2073</v>
      </c>
      <c r="G34" t="s">
        <v>44</v>
      </c>
      <c r="H34" t="s">
        <v>45</v>
      </c>
      <c r="I34" t="s">
        <v>96</v>
      </c>
      <c r="J34" t="s">
        <v>80</v>
      </c>
      <c r="K34" s="2">
        <v>0.96419402225133399</v>
      </c>
      <c r="L34" s="2">
        <v>1.3750644292338701</v>
      </c>
      <c r="M34" s="2">
        <v>2.56942141305246</v>
      </c>
      <c r="N34" s="2">
        <v>3.6274086208958898</v>
      </c>
    </row>
    <row r="35" spans="1:14" x14ac:dyDescent="0.2">
      <c r="A35" t="s">
        <v>105</v>
      </c>
      <c r="B35" t="s">
        <v>151</v>
      </c>
      <c r="C35">
        <v>2019</v>
      </c>
      <c r="D35">
        <v>2030</v>
      </c>
      <c r="E35">
        <v>2052</v>
      </c>
      <c r="F35">
        <v>2067</v>
      </c>
      <c r="G35" t="s">
        <v>15</v>
      </c>
      <c r="H35" t="s">
        <v>12</v>
      </c>
      <c r="I35" t="s">
        <v>95</v>
      </c>
      <c r="J35" t="s">
        <v>60</v>
      </c>
      <c r="K35" s="2">
        <v>0.70134988166900303</v>
      </c>
      <c r="L35" s="2">
        <v>0.998950885644035</v>
      </c>
      <c r="M35" s="2">
        <v>2.7606360962669898</v>
      </c>
      <c r="N35" s="2">
        <v>3.5059260879304599</v>
      </c>
    </row>
    <row r="36" spans="1:14" x14ac:dyDescent="0.2">
      <c r="A36" t="s">
        <v>109</v>
      </c>
      <c r="B36" t="s">
        <v>151</v>
      </c>
      <c r="C36">
        <v>2030</v>
      </c>
      <c r="D36">
        <v>2042</v>
      </c>
      <c r="E36">
        <v>2060</v>
      </c>
      <c r="F36">
        <v>2080</v>
      </c>
      <c r="G36" t="s">
        <v>12</v>
      </c>
      <c r="H36" t="s">
        <v>25</v>
      </c>
      <c r="I36" t="s">
        <v>26</v>
      </c>
      <c r="J36" t="s">
        <v>97</v>
      </c>
      <c r="K36" s="2">
        <v>1.14807129358736</v>
      </c>
      <c r="L36" s="2">
        <v>1.92835522339452</v>
      </c>
      <c r="M36" s="2">
        <v>3.00087035879264</v>
      </c>
      <c r="N36" s="2">
        <v>4.4327790092828199</v>
      </c>
    </row>
    <row r="37" spans="1:14" x14ac:dyDescent="0.2">
      <c r="A37" t="s">
        <v>110</v>
      </c>
      <c r="B37" t="s">
        <v>151</v>
      </c>
      <c r="C37">
        <v>2030</v>
      </c>
      <c r="D37">
        <v>2042</v>
      </c>
      <c r="E37">
        <v>2060</v>
      </c>
      <c r="F37">
        <v>2080</v>
      </c>
      <c r="G37" t="s">
        <v>12</v>
      </c>
      <c r="H37" t="s">
        <v>25</v>
      </c>
      <c r="I37" t="s">
        <v>26</v>
      </c>
      <c r="J37" t="s">
        <v>97</v>
      </c>
      <c r="K37" s="2">
        <v>1.1304126238699299</v>
      </c>
      <c r="L37" s="2">
        <v>1.9069431740552201</v>
      </c>
      <c r="M37" s="2">
        <v>2.9731055991778002</v>
      </c>
      <c r="N37" s="2">
        <v>4.3885902773160099</v>
      </c>
    </row>
    <row r="38" spans="1:14" x14ac:dyDescent="0.2">
      <c r="A38" t="s">
        <v>111</v>
      </c>
      <c r="B38" t="s">
        <v>151</v>
      </c>
      <c r="C38">
        <v>2019</v>
      </c>
      <c r="D38">
        <v>2035</v>
      </c>
      <c r="E38">
        <v>2051</v>
      </c>
      <c r="F38">
        <v>2067</v>
      </c>
      <c r="G38" t="s">
        <v>15</v>
      </c>
      <c r="H38" t="s">
        <v>43</v>
      </c>
      <c r="I38" t="s">
        <v>23</v>
      </c>
      <c r="J38" t="s">
        <v>60</v>
      </c>
      <c r="K38" s="2">
        <v>0.43056794999999998</v>
      </c>
      <c r="L38" s="2">
        <v>1.2029984</v>
      </c>
      <c r="M38" s="2">
        <v>2.6564833999999999</v>
      </c>
      <c r="N38" s="2">
        <v>4.1262420000000004</v>
      </c>
    </row>
    <row r="39" spans="1:14" x14ac:dyDescent="0.2">
      <c r="A39" t="s">
        <v>112</v>
      </c>
      <c r="B39" t="s">
        <v>151</v>
      </c>
      <c r="C39">
        <v>2043</v>
      </c>
      <c r="D39">
        <v>2057</v>
      </c>
      <c r="E39">
        <v>2078</v>
      </c>
      <c r="G39" t="s">
        <v>20</v>
      </c>
      <c r="H39" t="s">
        <v>42</v>
      </c>
      <c r="I39" t="s">
        <v>103</v>
      </c>
      <c r="K39" s="2">
        <v>1.39116558498808</v>
      </c>
      <c r="L39" s="2">
        <v>1.78786858452693</v>
      </c>
      <c r="M39" s="2">
        <v>3.3017069074842902</v>
      </c>
      <c r="N39" s="2"/>
    </row>
    <row r="40" spans="1:14" x14ac:dyDescent="0.2">
      <c r="A40" t="s">
        <v>113</v>
      </c>
      <c r="B40" t="s">
        <v>151</v>
      </c>
      <c r="C40">
        <v>2040</v>
      </c>
      <c r="D40">
        <v>2055</v>
      </c>
      <c r="E40">
        <v>2077</v>
      </c>
      <c r="G40" t="s">
        <v>18</v>
      </c>
      <c r="H40" t="s">
        <v>79</v>
      </c>
      <c r="I40" t="s">
        <v>90</v>
      </c>
      <c r="K40" s="2">
        <v>1.4563077935103701</v>
      </c>
      <c r="L40" s="2">
        <v>2.0562198799908602</v>
      </c>
      <c r="M40" s="2">
        <v>3.3375443506061302</v>
      </c>
      <c r="N40" s="2"/>
    </row>
    <row r="45" spans="1:14" x14ac:dyDescent="0.2">
      <c r="M45" s="3"/>
    </row>
  </sheetData>
  <sortState xmlns:xlrd2="http://schemas.microsoft.com/office/spreadsheetml/2017/richdata2" ref="A3:N40">
    <sortCondition ref="B3:B40"/>
    <sortCondition ref="A3:A40"/>
  </sortState>
  <mergeCells count="5">
    <mergeCell ref="S1:V1"/>
    <mergeCell ref="C1:F1"/>
    <mergeCell ref="G1:J1"/>
    <mergeCell ref="K1:N1"/>
    <mergeCell ref="O1:R1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9E52-8967-0B40-B1A4-75021F4FF2E3}">
  <dimension ref="A1:P39"/>
  <sheetViews>
    <sheetView workbookViewId="0">
      <selection activeCell="L41" sqref="L41"/>
    </sheetView>
  </sheetViews>
  <sheetFormatPr baseColWidth="10" defaultRowHeight="16" x14ac:dyDescent="0.2"/>
  <cols>
    <col min="1" max="1" width="39.6640625" bestFit="1" customWidth="1"/>
    <col min="2" max="2" width="5.6640625" bestFit="1" customWidth="1"/>
  </cols>
  <sheetData>
    <row r="1" spans="1:14" x14ac:dyDescent="0.2">
      <c r="A1" s="1" t="s">
        <v>0</v>
      </c>
      <c r="B1" s="1"/>
      <c r="C1" s="5" t="s">
        <v>1</v>
      </c>
      <c r="D1" s="5"/>
      <c r="E1" s="5"/>
      <c r="F1" s="5"/>
      <c r="G1" s="5" t="s">
        <v>2</v>
      </c>
      <c r="H1" s="5"/>
      <c r="I1" s="5"/>
      <c r="J1" s="5"/>
      <c r="K1" s="5" t="s">
        <v>114</v>
      </c>
      <c r="L1" s="5"/>
      <c r="M1" s="5"/>
      <c r="N1" s="5"/>
    </row>
    <row r="2" spans="1:14" x14ac:dyDescent="0.2">
      <c r="A2" s="1" t="s">
        <v>117</v>
      </c>
      <c r="B2" s="1" t="s">
        <v>142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4</v>
      </c>
      <c r="L2" s="1" t="s">
        <v>5</v>
      </c>
      <c r="M2" s="1" t="s">
        <v>6</v>
      </c>
      <c r="N2" s="1" t="s">
        <v>7</v>
      </c>
    </row>
    <row r="3" spans="1:14" x14ac:dyDescent="0.2">
      <c r="A3" t="s">
        <v>126</v>
      </c>
      <c r="B3" t="s">
        <v>143</v>
      </c>
      <c r="C3">
        <v>2023</v>
      </c>
      <c r="G3" t="s">
        <v>22</v>
      </c>
      <c r="K3" s="2">
        <v>0.46622947410301602</v>
      </c>
      <c r="L3" s="2"/>
      <c r="M3" s="2"/>
      <c r="N3" s="2"/>
    </row>
    <row r="4" spans="1:14" x14ac:dyDescent="0.2">
      <c r="A4" t="s">
        <v>125</v>
      </c>
      <c r="B4" t="s">
        <v>143</v>
      </c>
      <c r="C4">
        <v>2012</v>
      </c>
      <c r="D4">
        <v>2044</v>
      </c>
      <c r="G4" t="s">
        <v>13</v>
      </c>
      <c r="H4" t="s">
        <v>41</v>
      </c>
      <c r="K4" s="2">
        <v>0.24525560358096299</v>
      </c>
      <c r="L4" s="2">
        <v>0.87075942812776297</v>
      </c>
      <c r="M4" s="2"/>
      <c r="N4" s="2"/>
    </row>
    <row r="5" spans="1:14" x14ac:dyDescent="0.2">
      <c r="A5" t="s">
        <v>119</v>
      </c>
      <c r="B5" t="s">
        <v>143</v>
      </c>
      <c r="C5">
        <v>2014</v>
      </c>
      <c r="D5">
        <v>2034</v>
      </c>
      <c r="G5" t="s">
        <v>40</v>
      </c>
      <c r="H5" t="s">
        <v>63</v>
      </c>
      <c r="K5" s="2">
        <v>0.31774715847441198</v>
      </c>
      <c r="L5" s="2">
        <v>0.96672905815973698</v>
      </c>
      <c r="M5" s="2"/>
      <c r="N5" s="2"/>
    </row>
    <row r="6" spans="1:14" x14ac:dyDescent="0.2">
      <c r="A6" t="s">
        <v>118</v>
      </c>
      <c r="B6" t="s">
        <v>143</v>
      </c>
      <c r="C6">
        <v>2044</v>
      </c>
      <c r="G6" t="s">
        <v>41</v>
      </c>
      <c r="K6" s="2">
        <v>0.83663283039253999</v>
      </c>
      <c r="L6" s="2"/>
      <c r="M6" s="2"/>
      <c r="N6" s="2"/>
    </row>
    <row r="7" spans="1:14" x14ac:dyDescent="0.2">
      <c r="A7" t="s">
        <v>120</v>
      </c>
      <c r="B7" t="s">
        <v>143</v>
      </c>
      <c r="C7">
        <v>2011</v>
      </c>
      <c r="D7">
        <v>2032</v>
      </c>
      <c r="G7" t="s">
        <v>73</v>
      </c>
      <c r="H7" t="s">
        <v>31</v>
      </c>
      <c r="K7" s="2">
        <v>0.36656778123640099</v>
      </c>
      <c r="L7" s="2">
        <v>0.89545909033877502</v>
      </c>
      <c r="M7" s="2"/>
      <c r="N7" s="2"/>
    </row>
    <row r="8" spans="1:14" x14ac:dyDescent="0.2">
      <c r="A8" t="s">
        <v>121</v>
      </c>
      <c r="B8" t="s">
        <v>143</v>
      </c>
      <c r="C8">
        <v>2016</v>
      </c>
      <c r="D8">
        <v>2047</v>
      </c>
      <c r="G8" t="s">
        <v>122</v>
      </c>
      <c r="H8" t="s">
        <v>78</v>
      </c>
      <c r="K8" s="2">
        <v>0.387773928972933</v>
      </c>
      <c r="L8" s="2">
        <v>0.89021165758271004</v>
      </c>
      <c r="M8" s="2"/>
      <c r="N8" s="2"/>
    </row>
    <row r="9" spans="1:14" x14ac:dyDescent="0.2">
      <c r="A9" t="s">
        <v>124</v>
      </c>
      <c r="B9" t="s">
        <v>143</v>
      </c>
      <c r="K9" s="2"/>
      <c r="L9" s="2"/>
      <c r="M9" s="2"/>
      <c r="N9" s="2"/>
    </row>
    <row r="10" spans="1:14" x14ac:dyDescent="0.2">
      <c r="A10" t="s">
        <v>123</v>
      </c>
      <c r="B10" t="s">
        <v>143</v>
      </c>
      <c r="C10">
        <v>2085</v>
      </c>
      <c r="G10" t="s">
        <v>66</v>
      </c>
      <c r="K10" s="2">
        <v>1.41822244149666</v>
      </c>
      <c r="L10" s="2"/>
      <c r="M10" s="2"/>
      <c r="N10" s="2"/>
    </row>
    <row r="11" spans="1:14" x14ac:dyDescent="0.2">
      <c r="A11" t="s">
        <v>133</v>
      </c>
      <c r="B11" t="s">
        <v>145</v>
      </c>
      <c r="C11">
        <v>2022</v>
      </c>
      <c r="D11">
        <v>2044</v>
      </c>
      <c r="G11" t="s">
        <v>27</v>
      </c>
      <c r="H11" t="s">
        <v>41</v>
      </c>
      <c r="K11" s="2">
        <v>0.24246749877933901</v>
      </c>
      <c r="L11" s="2">
        <v>1.0014052497016299</v>
      </c>
      <c r="M11" s="2"/>
      <c r="N11" s="2"/>
    </row>
    <row r="12" spans="1:14" x14ac:dyDescent="0.2">
      <c r="A12" t="s">
        <v>132</v>
      </c>
      <c r="B12" t="s">
        <v>145</v>
      </c>
      <c r="C12">
        <v>2012</v>
      </c>
      <c r="D12">
        <v>2035</v>
      </c>
      <c r="G12" t="s">
        <v>13</v>
      </c>
      <c r="H12" t="s">
        <v>43</v>
      </c>
      <c r="K12" s="2">
        <v>0.26356427112833902</v>
      </c>
      <c r="L12" s="2">
        <v>0.58958780640360797</v>
      </c>
      <c r="M12" s="2"/>
      <c r="N12" s="2"/>
    </row>
    <row r="13" spans="1:14" x14ac:dyDescent="0.2">
      <c r="A13" t="s">
        <v>128</v>
      </c>
      <c r="B13" t="s">
        <v>145</v>
      </c>
      <c r="C13">
        <v>2018</v>
      </c>
      <c r="D13">
        <v>2032</v>
      </c>
      <c r="E13">
        <v>2076</v>
      </c>
      <c r="G13" t="s">
        <v>33</v>
      </c>
      <c r="H13" t="s">
        <v>31</v>
      </c>
      <c r="I13" t="s">
        <v>59</v>
      </c>
      <c r="K13" s="2">
        <v>0.41300838611745899</v>
      </c>
      <c r="L13" s="2">
        <v>0.81726423192909303</v>
      </c>
      <c r="M13" s="2">
        <v>1.8179915675410701</v>
      </c>
      <c r="N13" s="2"/>
    </row>
    <row r="14" spans="1:14" x14ac:dyDescent="0.2">
      <c r="A14" t="s">
        <v>127</v>
      </c>
      <c r="B14" t="s">
        <v>145</v>
      </c>
      <c r="C14">
        <v>2038</v>
      </c>
      <c r="D14">
        <v>2059</v>
      </c>
      <c r="G14" t="s">
        <v>16</v>
      </c>
      <c r="H14" t="s">
        <v>96</v>
      </c>
      <c r="K14" s="2">
        <v>0.63252829487877804</v>
      </c>
      <c r="L14" s="2">
        <v>1.610914836536</v>
      </c>
      <c r="M14" s="2"/>
      <c r="N14" s="2"/>
    </row>
    <row r="15" spans="1:14" x14ac:dyDescent="0.2">
      <c r="A15" t="s">
        <v>129</v>
      </c>
      <c r="B15" t="s">
        <v>145</v>
      </c>
      <c r="C15">
        <v>2014</v>
      </c>
      <c r="D15">
        <v>2031</v>
      </c>
      <c r="E15">
        <v>2070</v>
      </c>
      <c r="G15" t="s">
        <v>40</v>
      </c>
      <c r="H15" t="s">
        <v>17</v>
      </c>
      <c r="I15" t="s">
        <v>85</v>
      </c>
      <c r="K15" s="2">
        <v>0.26854250166147098</v>
      </c>
      <c r="L15" s="2">
        <v>0.80277699364550803</v>
      </c>
      <c r="M15" s="2">
        <v>1.9388497246635801</v>
      </c>
      <c r="N15" s="2"/>
    </row>
    <row r="16" spans="1:14" x14ac:dyDescent="0.2">
      <c r="A16" t="s">
        <v>131</v>
      </c>
      <c r="B16" s="4" t="s">
        <v>145</v>
      </c>
      <c r="C16">
        <v>2040</v>
      </c>
      <c r="D16">
        <v>2074</v>
      </c>
      <c r="G16" t="s">
        <v>18</v>
      </c>
      <c r="H16" t="s">
        <v>21</v>
      </c>
      <c r="K16" s="2">
        <v>1.2713410977964501</v>
      </c>
      <c r="L16" s="2">
        <v>1.85172906098548</v>
      </c>
      <c r="M16" s="2"/>
      <c r="N16" s="2"/>
    </row>
    <row r="17" spans="1:16" x14ac:dyDescent="0.2">
      <c r="A17" t="s">
        <v>130</v>
      </c>
      <c r="B17" s="4" t="s">
        <v>145</v>
      </c>
      <c r="C17">
        <v>2042</v>
      </c>
      <c r="D17">
        <v>2068</v>
      </c>
      <c r="G17" t="s">
        <v>25</v>
      </c>
      <c r="H17" t="s">
        <v>8</v>
      </c>
      <c r="K17" s="2">
        <v>1.04776215729892</v>
      </c>
      <c r="L17" s="2">
        <v>1.4275242982087399</v>
      </c>
      <c r="M17" s="2"/>
      <c r="N17" s="2"/>
    </row>
    <row r="18" spans="1:16" x14ac:dyDescent="0.2">
      <c r="A18" t="s">
        <v>141</v>
      </c>
      <c r="B18" t="s">
        <v>144</v>
      </c>
      <c r="C18">
        <v>2020</v>
      </c>
      <c r="D18">
        <v>2037</v>
      </c>
      <c r="E18">
        <v>2060</v>
      </c>
      <c r="F18">
        <v>2084</v>
      </c>
      <c r="G18" t="s">
        <v>50</v>
      </c>
      <c r="H18" t="s">
        <v>47</v>
      </c>
      <c r="I18" t="s">
        <v>26</v>
      </c>
      <c r="J18" t="s">
        <v>71</v>
      </c>
      <c r="K18" s="2">
        <v>0.25636699817790398</v>
      </c>
      <c r="L18" s="2">
        <v>1.4150692127368201</v>
      </c>
      <c r="M18" s="2">
        <v>2.2598840219002199</v>
      </c>
      <c r="N18" s="2">
        <v>3.8378899609600099</v>
      </c>
    </row>
    <row r="19" spans="1:16" x14ac:dyDescent="0.2">
      <c r="A19" t="s">
        <v>140</v>
      </c>
      <c r="B19" t="s">
        <v>144</v>
      </c>
      <c r="C19">
        <v>2011</v>
      </c>
      <c r="D19">
        <v>2029</v>
      </c>
      <c r="E19">
        <v>2060</v>
      </c>
      <c r="F19">
        <v>2086</v>
      </c>
      <c r="G19" t="s">
        <v>73</v>
      </c>
      <c r="H19" t="s">
        <v>44</v>
      </c>
      <c r="I19" t="s">
        <v>26</v>
      </c>
      <c r="J19" t="s">
        <v>74</v>
      </c>
      <c r="K19" s="2">
        <v>0.19708605850399499</v>
      </c>
      <c r="L19" s="2">
        <v>0.85248630903591305</v>
      </c>
      <c r="M19" s="2">
        <v>2.72245074781776</v>
      </c>
      <c r="N19" s="2">
        <v>3.5750805834353399</v>
      </c>
    </row>
    <row r="20" spans="1:16" x14ac:dyDescent="0.2">
      <c r="A20" t="s">
        <v>135</v>
      </c>
      <c r="B20" t="s">
        <v>144</v>
      </c>
      <c r="C20">
        <v>2014</v>
      </c>
      <c r="D20">
        <v>2027</v>
      </c>
      <c r="E20">
        <v>2050</v>
      </c>
      <c r="F20">
        <v>2069</v>
      </c>
      <c r="G20" t="s">
        <v>40</v>
      </c>
      <c r="H20" t="s">
        <v>29</v>
      </c>
      <c r="I20" t="s">
        <v>52</v>
      </c>
      <c r="J20" t="s">
        <v>84</v>
      </c>
      <c r="K20" s="2">
        <v>0.29994389569320301</v>
      </c>
      <c r="L20" s="2">
        <v>0.73833098234956296</v>
      </c>
      <c r="M20" s="2">
        <v>1.8766875938133201</v>
      </c>
      <c r="N20" s="2">
        <v>3.2761420921043301</v>
      </c>
    </row>
    <row r="21" spans="1:16" x14ac:dyDescent="0.2">
      <c r="A21" t="s">
        <v>134</v>
      </c>
      <c r="B21" t="s">
        <v>144</v>
      </c>
      <c r="C21">
        <v>2031</v>
      </c>
      <c r="D21">
        <v>2046</v>
      </c>
      <c r="E21">
        <v>2068</v>
      </c>
      <c r="F21">
        <v>2088</v>
      </c>
      <c r="G21" t="s">
        <v>17</v>
      </c>
      <c r="H21" t="s">
        <v>46</v>
      </c>
      <c r="I21" t="s">
        <v>8</v>
      </c>
      <c r="J21" t="s">
        <v>88</v>
      </c>
      <c r="K21" s="2">
        <v>0.80631215971271497</v>
      </c>
      <c r="L21" s="2">
        <v>1.5717548309150999</v>
      </c>
      <c r="M21" s="2">
        <v>2.6047206391182098</v>
      </c>
      <c r="N21" s="2">
        <v>3.8460715047062499</v>
      </c>
    </row>
    <row r="22" spans="1:16" x14ac:dyDescent="0.2">
      <c r="A22" t="s">
        <v>136</v>
      </c>
      <c r="B22" t="s">
        <v>144</v>
      </c>
      <c r="C22">
        <v>2023</v>
      </c>
      <c r="D22">
        <v>2035</v>
      </c>
      <c r="E22">
        <v>2055</v>
      </c>
      <c r="F22">
        <v>2071</v>
      </c>
      <c r="G22" t="s">
        <v>22</v>
      </c>
      <c r="H22" t="s">
        <v>43</v>
      </c>
      <c r="I22" t="s">
        <v>79</v>
      </c>
      <c r="J22" t="s">
        <v>99</v>
      </c>
      <c r="K22" s="2">
        <v>1.2547776910347199</v>
      </c>
      <c r="L22" s="2">
        <v>1.8814544179047701</v>
      </c>
      <c r="M22" s="2">
        <v>3.3167032989732199</v>
      </c>
      <c r="N22" s="2"/>
      <c r="O22" s="3" t="s">
        <v>152</v>
      </c>
      <c r="P22" s="2">
        <v>4.9136741564842401</v>
      </c>
    </row>
    <row r="23" spans="1:16" x14ac:dyDescent="0.2">
      <c r="A23" t="s">
        <v>137</v>
      </c>
      <c r="B23" t="s">
        <v>144</v>
      </c>
      <c r="C23">
        <v>2011</v>
      </c>
      <c r="D23">
        <v>2027</v>
      </c>
      <c r="E23">
        <v>2048</v>
      </c>
      <c r="F23">
        <v>2066</v>
      </c>
      <c r="G23" t="s">
        <v>73</v>
      </c>
      <c r="H23" t="s">
        <v>29</v>
      </c>
      <c r="I23" t="s">
        <v>35</v>
      </c>
      <c r="J23" t="s">
        <v>61</v>
      </c>
      <c r="K23" s="2">
        <v>0.27716342078308198</v>
      </c>
      <c r="L23" s="2">
        <v>0.97698444790303796</v>
      </c>
      <c r="M23" s="2">
        <v>2.1671324835882499</v>
      </c>
      <c r="N23" s="2">
        <v>3.4109224743312501</v>
      </c>
    </row>
    <row r="24" spans="1:16" x14ac:dyDescent="0.2">
      <c r="A24" t="s">
        <v>139</v>
      </c>
      <c r="B24" t="s">
        <v>144</v>
      </c>
      <c r="C24">
        <v>2033</v>
      </c>
      <c r="D24">
        <v>2050</v>
      </c>
      <c r="E24">
        <v>2074</v>
      </c>
      <c r="G24" t="s">
        <v>75</v>
      </c>
      <c r="H24" t="s">
        <v>52</v>
      </c>
      <c r="I24" t="s">
        <v>21</v>
      </c>
      <c r="K24" s="2">
        <v>0.78084819934989003</v>
      </c>
      <c r="L24" s="2">
        <v>1.1650189858895901</v>
      </c>
      <c r="M24" s="2">
        <v>2.51032525521738</v>
      </c>
      <c r="N24" s="2"/>
    </row>
    <row r="25" spans="1:16" x14ac:dyDescent="0.2">
      <c r="A25" t="s">
        <v>138</v>
      </c>
      <c r="B25" t="s">
        <v>144</v>
      </c>
      <c r="C25">
        <v>2034</v>
      </c>
      <c r="D25">
        <v>2048</v>
      </c>
      <c r="E25">
        <v>2070</v>
      </c>
      <c r="G25" t="s">
        <v>63</v>
      </c>
      <c r="H25" t="s">
        <v>35</v>
      </c>
      <c r="I25" t="s">
        <v>85</v>
      </c>
      <c r="K25" s="2">
        <v>0.69072337680391005</v>
      </c>
      <c r="L25" s="2">
        <v>1.39141197204587</v>
      </c>
      <c r="M25" s="2">
        <v>2.5225286695692</v>
      </c>
      <c r="N25" s="2"/>
    </row>
    <row r="39" spans="13:13" x14ac:dyDescent="0.2">
      <c r="M39" s="3"/>
    </row>
  </sheetData>
  <sortState xmlns:xlrd2="http://schemas.microsoft.com/office/spreadsheetml/2017/richdata2" ref="A3:N25">
    <sortCondition ref="B3:B25"/>
    <sortCondition ref="A3:A25"/>
  </sortState>
  <mergeCells count="3">
    <mergeCell ref="C1:F1"/>
    <mergeCell ref="G1:J1"/>
    <mergeCell ref="K1:N1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6C52E-CD69-334E-921C-30F2A861EB14}">
  <dimension ref="A1:U28"/>
  <sheetViews>
    <sheetView workbookViewId="0">
      <selection activeCell="E41" sqref="E41"/>
    </sheetView>
  </sheetViews>
  <sheetFormatPr baseColWidth="10" defaultRowHeight="16" x14ac:dyDescent="0.2"/>
  <cols>
    <col min="1" max="1" width="47.33203125" bestFit="1" customWidth="1"/>
  </cols>
  <sheetData>
    <row r="1" spans="1:21" x14ac:dyDescent="0.2">
      <c r="A1" s="1" t="s">
        <v>0</v>
      </c>
      <c r="B1" s="5" t="s">
        <v>1</v>
      </c>
      <c r="C1" s="5"/>
      <c r="D1" s="5"/>
      <c r="E1" s="5"/>
      <c r="F1" s="5" t="s">
        <v>2</v>
      </c>
      <c r="G1" s="5"/>
      <c r="H1" s="5"/>
      <c r="I1" s="5"/>
      <c r="J1" s="5" t="s">
        <v>114</v>
      </c>
      <c r="K1" s="5"/>
      <c r="L1" s="5"/>
      <c r="M1" s="5"/>
      <c r="N1" s="5" t="s">
        <v>115</v>
      </c>
      <c r="O1" s="5"/>
      <c r="P1" s="5"/>
      <c r="Q1" s="5"/>
      <c r="R1" s="5" t="s">
        <v>116</v>
      </c>
      <c r="S1" s="5"/>
      <c r="T1" s="5"/>
      <c r="U1" s="5"/>
    </row>
    <row r="2" spans="1:21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4</v>
      </c>
      <c r="K2" s="1" t="s">
        <v>5</v>
      </c>
      <c r="L2" s="1" t="s">
        <v>6</v>
      </c>
      <c r="M2" s="1" t="s">
        <v>7</v>
      </c>
      <c r="N2" s="1" t="s">
        <v>4</v>
      </c>
      <c r="O2" s="1" t="s">
        <v>5</v>
      </c>
      <c r="P2" s="1" t="s">
        <v>6</v>
      </c>
      <c r="Q2" s="1" t="s">
        <v>7</v>
      </c>
      <c r="R2" s="1" t="s">
        <v>4</v>
      </c>
      <c r="S2" s="1" t="s">
        <v>5</v>
      </c>
      <c r="T2" s="1" t="s">
        <v>6</v>
      </c>
      <c r="U2" s="1" t="s">
        <v>7</v>
      </c>
    </row>
    <row r="3" spans="1:21" x14ac:dyDescent="0.2">
      <c r="A3" t="s">
        <v>24</v>
      </c>
      <c r="B3">
        <v>2042</v>
      </c>
      <c r="F3" t="s">
        <v>25</v>
      </c>
      <c r="J3" s="2">
        <v>0.50765736677745898</v>
      </c>
      <c r="K3" s="2"/>
      <c r="L3" s="2"/>
      <c r="M3" s="2"/>
    </row>
    <row r="4" spans="1:21" x14ac:dyDescent="0.2">
      <c r="A4" t="s">
        <v>55</v>
      </c>
      <c r="B4">
        <v>2036</v>
      </c>
      <c r="C4">
        <v>2058</v>
      </c>
      <c r="F4" t="s">
        <v>56</v>
      </c>
      <c r="G4" t="s">
        <v>57</v>
      </c>
      <c r="J4" s="2">
        <v>1.24800717137679</v>
      </c>
      <c r="K4" s="2">
        <v>1.79025508687392</v>
      </c>
      <c r="L4" s="2"/>
      <c r="M4" s="2"/>
    </row>
    <row r="5" spans="1:21" x14ac:dyDescent="0.2">
      <c r="A5" t="s">
        <v>102</v>
      </c>
      <c r="B5">
        <v>2031</v>
      </c>
      <c r="C5">
        <v>2044</v>
      </c>
      <c r="D5">
        <v>2066</v>
      </c>
      <c r="F5" t="s">
        <v>17</v>
      </c>
      <c r="G5" t="s">
        <v>41</v>
      </c>
      <c r="H5" t="s">
        <v>61</v>
      </c>
      <c r="J5" s="2">
        <v>1.10620723221233</v>
      </c>
      <c r="K5" s="2">
        <v>1.9836362436988699</v>
      </c>
      <c r="L5" s="2">
        <v>3.30951525175441</v>
      </c>
      <c r="M5" s="2"/>
    </row>
    <row r="6" spans="1:21" x14ac:dyDescent="0.2">
      <c r="A6" t="s">
        <v>39</v>
      </c>
      <c r="B6">
        <v>2014</v>
      </c>
      <c r="C6">
        <v>2027</v>
      </c>
      <c r="F6" t="s">
        <v>40</v>
      </c>
      <c r="G6" t="s">
        <v>29</v>
      </c>
      <c r="J6" s="2">
        <v>0.44814990008318001</v>
      </c>
      <c r="K6" s="2">
        <v>0.91811225325973</v>
      </c>
      <c r="L6" s="2"/>
      <c r="M6" s="2"/>
    </row>
    <row r="7" spans="1:21" x14ac:dyDescent="0.2">
      <c r="A7" t="s">
        <v>70</v>
      </c>
      <c r="B7">
        <v>2014</v>
      </c>
      <c r="C7">
        <v>2025</v>
      </c>
      <c r="D7">
        <v>2050</v>
      </c>
      <c r="F7" t="s">
        <v>40</v>
      </c>
      <c r="G7" t="s">
        <v>11</v>
      </c>
      <c r="H7" t="s">
        <v>52</v>
      </c>
      <c r="I7" t="s">
        <v>71</v>
      </c>
      <c r="J7" s="2">
        <v>0.39986685293692897</v>
      </c>
      <c r="K7" s="2">
        <v>1.07768163327819</v>
      </c>
      <c r="L7" s="2">
        <v>2.4992855354591899</v>
      </c>
      <c r="M7" s="2">
        <v>3.4649832266348399</v>
      </c>
    </row>
    <row r="8" spans="1:21" x14ac:dyDescent="0.2">
      <c r="A8" t="s">
        <v>108</v>
      </c>
      <c r="B8">
        <v>2013</v>
      </c>
      <c r="C8">
        <v>2023</v>
      </c>
      <c r="D8">
        <v>2041</v>
      </c>
      <c r="E8">
        <v>2055</v>
      </c>
      <c r="F8" t="s">
        <v>10</v>
      </c>
      <c r="G8" t="s">
        <v>22</v>
      </c>
      <c r="H8" t="s">
        <v>45</v>
      </c>
      <c r="I8" t="s">
        <v>79</v>
      </c>
      <c r="J8" s="2">
        <v>0.40323407208475398</v>
      </c>
      <c r="K8" s="2">
        <v>0.99704027529113504</v>
      </c>
      <c r="L8" s="2">
        <v>2.3371529190628499</v>
      </c>
      <c r="M8" s="2">
        <v>3.47663613778573</v>
      </c>
    </row>
    <row r="9" spans="1:21" x14ac:dyDescent="0.2">
      <c r="A9" t="s">
        <v>36</v>
      </c>
      <c r="B9">
        <v>2010</v>
      </c>
      <c r="C9">
        <v>2021</v>
      </c>
      <c r="F9" t="s">
        <v>37</v>
      </c>
      <c r="G9" t="s">
        <v>38</v>
      </c>
      <c r="J9" s="2">
        <v>0.214749413949505</v>
      </c>
      <c r="K9" s="2">
        <v>0.45363177546752198</v>
      </c>
      <c r="L9" s="2"/>
      <c r="M9" s="2"/>
    </row>
    <row r="10" spans="1:21" x14ac:dyDescent="0.2">
      <c r="A10" t="s">
        <v>67</v>
      </c>
      <c r="B10">
        <v>2010</v>
      </c>
      <c r="C10">
        <v>2021</v>
      </c>
      <c r="D10">
        <v>2045</v>
      </c>
      <c r="F10" t="s">
        <v>37</v>
      </c>
      <c r="G10" t="s">
        <v>38</v>
      </c>
      <c r="H10" t="s">
        <v>68</v>
      </c>
      <c r="I10" t="s">
        <v>69</v>
      </c>
      <c r="J10" s="2">
        <v>0.247648154364804</v>
      </c>
      <c r="K10" s="2">
        <v>0.91101201375336904</v>
      </c>
      <c r="L10" s="2">
        <v>1.9685270945232201</v>
      </c>
      <c r="M10" s="2">
        <v>3.1466245015463401</v>
      </c>
    </row>
    <row r="11" spans="1:21" x14ac:dyDescent="0.2">
      <c r="A11" t="s">
        <v>107</v>
      </c>
      <c r="B11">
        <v>2009</v>
      </c>
      <c r="C11">
        <v>2020</v>
      </c>
      <c r="D11">
        <v>2038</v>
      </c>
      <c r="E11">
        <v>2054</v>
      </c>
      <c r="F11" t="s">
        <v>93</v>
      </c>
      <c r="G11" t="s">
        <v>50</v>
      </c>
      <c r="H11" t="s">
        <v>16</v>
      </c>
      <c r="I11" t="s">
        <v>104</v>
      </c>
      <c r="J11" s="2">
        <v>0.177779995953596</v>
      </c>
      <c r="K11" s="2">
        <v>0.87309575963903396</v>
      </c>
      <c r="L11" s="2">
        <v>2.0574873323793699</v>
      </c>
      <c r="M11" s="2">
        <v>3.3368688512731399</v>
      </c>
    </row>
    <row r="12" spans="1:21" x14ac:dyDescent="0.2">
      <c r="A12" t="s">
        <v>34</v>
      </c>
      <c r="B12">
        <v>2028</v>
      </c>
      <c r="F12" t="s">
        <v>19</v>
      </c>
      <c r="G12" t="s">
        <v>26</v>
      </c>
      <c r="J12" s="2">
        <v>0.68443506444989699</v>
      </c>
      <c r="K12" s="2">
        <v>1.4934826904101901</v>
      </c>
      <c r="L12" s="2"/>
      <c r="M12" s="2"/>
    </row>
    <row r="13" spans="1:21" x14ac:dyDescent="0.2">
      <c r="A13" t="s">
        <v>64</v>
      </c>
      <c r="B13">
        <v>2031</v>
      </c>
      <c r="C13">
        <v>2049</v>
      </c>
      <c r="F13" t="s">
        <v>17</v>
      </c>
      <c r="G13" t="s">
        <v>65</v>
      </c>
      <c r="H13" t="s">
        <v>66</v>
      </c>
      <c r="J13" s="2">
        <v>0.79185877975170005</v>
      </c>
      <c r="K13" s="2">
        <v>0.94604524693873704</v>
      </c>
      <c r="L13" s="2">
        <v>1.9276448337221399</v>
      </c>
      <c r="M13" s="2"/>
    </row>
    <row r="14" spans="1:21" x14ac:dyDescent="0.2">
      <c r="A14" t="s">
        <v>106</v>
      </c>
      <c r="B14">
        <v>2029</v>
      </c>
      <c r="C14">
        <v>2041</v>
      </c>
      <c r="D14">
        <v>2059</v>
      </c>
      <c r="E14">
        <v>2073</v>
      </c>
      <c r="F14" t="s">
        <v>44</v>
      </c>
      <c r="G14" t="s">
        <v>45</v>
      </c>
      <c r="H14" t="s">
        <v>96</v>
      </c>
      <c r="I14" t="s">
        <v>80</v>
      </c>
      <c r="J14" s="2">
        <v>0.96419402225133399</v>
      </c>
      <c r="K14" s="2">
        <v>1.3750644292338701</v>
      </c>
      <c r="L14" s="2">
        <v>2.56942141305246</v>
      </c>
      <c r="M14" s="2">
        <v>3.6274086208958898</v>
      </c>
    </row>
    <row r="15" spans="1:21" x14ac:dyDescent="0.2">
      <c r="A15" t="s">
        <v>32</v>
      </c>
      <c r="B15">
        <v>2018</v>
      </c>
      <c r="F15" t="s">
        <v>33</v>
      </c>
      <c r="G15" t="s">
        <v>17</v>
      </c>
      <c r="J15" s="2">
        <v>0.71423186692603902</v>
      </c>
      <c r="K15" s="2">
        <v>0.94311847540844496</v>
      </c>
      <c r="L15" s="2"/>
      <c r="M15" s="2"/>
    </row>
    <row r="16" spans="1:21" x14ac:dyDescent="0.2">
      <c r="A16" t="s">
        <v>62</v>
      </c>
      <c r="B16">
        <v>2020</v>
      </c>
      <c r="C16">
        <v>2034</v>
      </c>
      <c r="F16" t="s">
        <v>50</v>
      </c>
      <c r="G16" t="s">
        <v>63</v>
      </c>
      <c r="H16" t="s">
        <v>51</v>
      </c>
      <c r="J16" s="2">
        <v>0.65928880106152898</v>
      </c>
      <c r="K16" s="2">
        <v>1.27930423687614</v>
      </c>
      <c r="L16" s="2">
        <v>2.4659900553596299</v>
      </c>
      <c r="M16" s="2"/>
    </row>
    <row r="17" spans="1:13" x14ac:dyDescent="0.2">
      <c r="A17" t="s">
        <v>105</v>
      </c>
      <c r="B17">
        <v>2019</v>
      </c>
      <c r="C17">
        <v>2030</v>
      </c>
      <c r="D17">
        <v>2052</v>
      </c>
      <c r="E17">
        <v>2067</v>
      </c>
      <c r="F17" t="s">
        <v>15</v>
      </c>
      <c r="G17" t="s">
        <v>12</v>
      </c>
      <c r="H17" t="s">
        <v>95</v>
      </c>
      <c r="I17" t="s">
        <v>60</v>
      </c>
      <c r="J17" s="2">
        <v>0.70134988166900303</v>
      </c>
      <c r="K17" s="2">
        <v>0.998950885644035</v>
      </c>
      <c r="L17" s="2">
        <v>2.7606360962669898</v>
      </c>
      <c r="M17" s="2">
        <v>3.5059260879304599</v>
      </c>
    </row>
    <row r="18" spans="1:13" x14ac:dyDescent="0.2">
      <c r="A18" t="s">
        <v>109</v>
      </c>
      <c r="B18">
        <v>2030</v>
      </c>
      <c r="C18">
        <v>2042</v>
      </c>
      <c r="D18">
        <v>2060</v>
      </c>
      <c r="E18">
        <v>2080</v>
      </c>
      <c r="F18" t="s">
        <v>12</v>
      </c>
      <c r="G18" t="s">
        <v>25</v>
      </c>
      <c r="H18" t="s">
        <v>26</v>
      </c>
      <c r="I18" t="s">
        <v>97</v>
      </c>
      <c r="J18" s="2">
        <v>1.14807129358736</v>
      </c>
      <c r="K18" s="2">
        <v>1.92835522339452</v>
      </c>
      <c r="L18" s="2">
        <v>3.00087035879264</v>
      </c>
      <c r="M18" s="2">
        <v>4.4327790092828199</v>
      </c>
    </row>
    <row r="19" spans="1:13" x14ac:dyDescent="0.2">
      <c r="A19" t="s">
        <v>110</v>
      </c>
      <c r="B19">
        <v>2030</v>
      </c>
      <c r="C19">
        <v>2042</v>
      </c>
      <c r="D19">
        <v>2060</v>
      </c>
      <c r="E19">
        <v>2080</v>
      </c>
      <c r="F19" t="s">
        <v>12</v>
      </c>
      <c r="G19" t="s">
        <v>25</v>
      </c>
      <c r="H19" t="s">
        <v>26</v>
      </c>
      <c r="I19" t="s">
        <v>97</v>
      </c>
      <c r="J19" s="2">
        <v>1.1304126238699299</v>
      </c>
      <c r="K19" s="2">
        <v>1.9069431740552201</v>
      </c>
      <c r="L19" s="2">
        <v>2.9731055991778002</v>
      </c>
      <c r="M19" s="2">
        <v>4.3885902773160099</v>
      </c>
    </row>
    <row r="20" spans="1:13" x14ac:dyDescent="0.2">
      <c r="A20" t="s">
        <v>49</v>
      </c>
      <c r="B20">
        <v>2020</v>
      </c>
      <c r="C20">
        <v>2039</v>
      </c>
      <c r="F20" t="s">
        <v>50</v>
      </c>
      <c r="G20" t="s">
        <v>28</v>
      </c>
      <c r="J20" s="2">
        <v>0.48637999999999998</v>
      </c>
      <c r="K20" s="2">
        <v>0.99413149999999995</v>
      </c>
      <c r="L20" s="2"/>
      <c r="M20" s="2"/>
    </row>
    <row r="21" spans="1:13" x14ac:dyDescent="0.2">
      <c r="A21" t="s">
        <v>81</v>
      </c>
      <c r="B21">
        <v>2019</v>
      </c>
      <c r="C21">
        <v>2034</v>
      </c>
      <c r="D21">
        <v>2066</v>
      </c>
      <c r="F21" t="s">
        <v>15</v>
      </c>
      <c r="G21" t="s">
        <v>63</v>
      </c>
      <c r="H21" t="s">
        <v>61</v>
      </c>
      <c r="J21" s="2">
        <v>0.52504269999999997</v>
      </c>
      <c r="K21" s="2">
        <v>1.4451324999999999</v>
      </c>
      <c r="L21" s="2">
        <v>2.7629134999999998</v>
      </c>
      <c r="M21" s="2"/>
    </row>
    <row r="22" spans="1:13" x14ac:dyDescent="0.2">
      <c r="A22" t="s">
        <v>111</v>
      </c>
      <c r="B22">
        <v>2019</v>
      </c>
      <c r="C22">
        <v>2035</v>
      </c>
      <c r="D22">
        <v>2051</v>
      </c>
      <c r="E22">
        <v>2067</v>
      </c>
      <c r="F22" t="s">
        <v>15</v>
      </c>
      <c r="G22" t="s">
        <v>43</v>
      </c>
      <c r="H22" t="s">
        <v>23</v>
      </c>
      <c r="I22" t="s">
        <v>60</v>
      </c>
      <c r="J22" s="2">
        <v>0.43056794999999998</v>
      </c>
      <c r="K22" s="2">
        <v>1.2029984</v>
      </c>
      <c r="L22" s="2">
        <v>2.6564833999999999</v>
      </c>
      <c r="M22" s="2">
        <v>4.1262420000000004</v>
      </c>
    </row>
    <row r="23" spans="1:13" x14ac:dyDescent="0.2">
      <c r="A23" t="s">
        <v>53</v>
      </c>
      <c r="J23" s="2"/>
      <c r="K23" s="2"/>
      <c r="L23" s="2"/>
      <c r="M23" s="2"/>
    </row>
    <row r="24" spans="1:13" x14ac:dyDescent="0.2">
      <c r="A24" t="s">
        <v>82</v>
      </c>
      <c r="B24">
        <v>2056</v>
      </c>
      <c r="C24">
        <v>2086</v>
      </c>
      <c r="F24" t="s">
        <v>58</v>
      </c>
      <c r="G24" t="s">
        <v>74</v>
      </c>
      <c r="J24" s="2">
        <v>1.6532092765525299</v>
      </c>
      <c r="K24" s="2">
        <v>2.1603128362584698</v>
      </c>
      <c r="L24" s="2"/>
      <c r="M24" s="2"/>
    </row>
    <row r="25" spans="1:13" x14ac:dyDescent="0.2">
      <c r="A25" t="s">
        <v>112</v>
      </c>
      <c r="B25">
        <v>2043</v>
      </c>
      <c r="C25">
        <v>2057</v>
      </c>
      <c r="D25">
        <v>2078</v>
      </c>
      <c r="F25" t="s">
        <v>20</v>
      </c>
      <c r="G25" t="s">
        <v>42</v>
      </c>
      <c r="H25" t="s">
        <v>103</v>
      </c>
      <c r="J25" s="2">
        <v>1.39116558498808</v>
      </c>
      <c r="K25" s="2">
        <v>1.78786858452693</v>
      </c>
      <c r="L25" s="2">
        <v>3.3017069074842902</v>
      </c>
      <c r="M25" s="2"/>
    </row>
    <row r="26" spans="1:13" x14ac:dyDescent="0.2">
      <c r="A26" t="s">
        <v>54</v>
      </c>
      <c r="J26" s="2"/>
      <c r="K26" s="2"/>
      <c r="L26" s="2"/>
      <c r="M26" s="2"/>
    </row>
    <row r="27" spans="1:13" x14ac:dyDescent="0.2">
      <c r="A27" t="s">
        <v>83</v>
      </c>
      <c r="B27">
        <v>2047</v>
      </c>
      <c r="C27">
        <v>2079</v>
      </c>
      <c r="F27" t="s">
        <v>78</v>
      </c>
      <c r="G27" t="s">
        <v>48</v>
      </c>
      <c r="J27" s="2">
        <v>1.4766804064679699</v>
      </c>
      <c r="K27" s="2">
        <v>1.9302608195684401</v>
      </c>
      <c r="L27" s="2"/>
      <c r="M27" s="2"/>
    </row>
    <row r="28" spans="1:13" x14ac:dyDescent="0.2">
      <c r="A28" t="s">
        <v>113</v>
      </c>
      <c r="B28">
        <v>2040</v>
      </c>
      <c r="C28">
        <v>2055</v>
      </c>
      <c r="D28">
        <v>2077</v>
      </c>
      <c r="F28" t="s">
        <v>18</v>
      </c>
      <c r="G28" t="s">
        <v>79</v>
      </c>
      <c r="H28" t="s">
        <v>90</v>
      </c>
      <c r="J28" s="2">
        <v>1.4563077935103701</v>
      </c>
      <c r="K28" s="2">
        <v>2.0562198799908602</v>
      </c>
      <c r="L28" s="2">
        <v>3.3375443506061302</v>
      </c>
      <c r="M28" s="2"/>
    </row>
  </sheetData>
  <mergeCells count="5">
    <mergeCell ref="B1:E1"/>
    <mergeCell ref="F1:I1"/>
    <mergeCell ref="J1:M1"/>
    <mergeCell ref="N1:Q1"/>
    <mergeCell ref="R1:U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Diagramme</vt:lpstr>
      </vt:variant>
      <vt:variant>
        <vt:i4>4</vt:i4>
      </vt:variant>
    </vt:vector>
  </HeadingPairs>
  <TitlesOfParts>
    <vt:vector size="7" baseType="lpstr">
      <vt:lpstr>CMIP6_sel</vt:lpstr>
      <vt:lpstr>CMIP5_sel</vt:lpstr>
      <vt:lpstr>CMIP6_sel_timing</vt:lpstr>
      <vt:lpstr>gwl_date</vt:lpstr>
      <vt:lpstr>gwl_rcps</vt:lpstr>
      <vt:lpstr>gwl_ssps</vt:lpstr>
      <vt:lpstr>gwl_ccs_AUT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Becsi</dc:creator>
  <cp:lastModifiedBy>Benedikt Becsi</cp:lastModifiedBy>
  <dcterms:created xsi:type="dcterms:W3CDTF">2023-05-11T13:45:49Z</dcterms:created>
  <dcterms:modified xsi:type="dcterms:W3CDTF">2023-10-17T13:27:39Z</dcterms:modified>
</cp:coreProperties>
</file>