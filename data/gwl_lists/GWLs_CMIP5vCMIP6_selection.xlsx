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9FA4AF0D-FD0A-3E4B-B817-B63C29D2780D}" xr6:coauthVersionLast="47" xr6:coauthVersionMax="47" xr10:uidLastSave="{00000000-0000-0000-0000-000000000000}"/>
  <bookViews>
    <workbookView xWindow="0" yWindow="500" windowWidth="38400" windowHeight="22120" activeTab="3" xr2:uid="{3205E47B-5EE3-6F45-A00E-09C2AA1423A5}"/>
  </bookViews>
  <sheets>
    <sheet name="CMIP6_sel" sheetId="4" r:id="rId1"/>
    <sheet name="CMIP5_sel" sheetId="5" r:id="rId2"/>
    <sheet name="CMIP6_sel_timing" sheetId="6" r:id="rId3"/>
    <sheet name="clean_data_table" sheetId="13" r:id="rId4"/>
    <sheet name="gwl_date" sheetId="9" r:id="rId5"/>
    <sheet name="gwl_rcps" sheetId="10" r:id="rId6"/>
    <sheet name="gwl_ssps" sheetId="11" r:id="rId7"/>
    <sheet name="gwl_ccs_AUT" sheetId="12" r:id="rId8"/>
  </sheets>
  <externalReferences>
    <externalReference r:id="rId9"/>
  </externalReferences>
  <definedNames>
    <definedName name="_xlchart.v1.0" hidden="1">(clean_data_table!$C$4:$C$9,clean_data_table!$C$11:$C$12,clean_data_table!$C$14:$C$32,clean_data_table!$C$34:$C$37)</definedName>
    <definedName name="_xlchart.v1.1" hidden="1">(clean_data_table!$D$11:$D$34,clean_data_table!$D$36:$D$37)</definedName>
    <definedName name="_xlchart.v1.10" hidden="1">clean_data_table!$AI$4:$AI$11</definedName>
    <definedName name="_xlchart.v1.11" hidden="1">clean_data_table!$C$4:$C$19</definedName>
    <definedName name="_xlchart.v1.12" hidden="1">clean_data_table!$C$4:$C$37</definedName>
    <definedName name="_xlchart.v1.13" hidden="1">clean_data_table!$D$8:$D$19</definedName>
    <definedName name="_xlchart.v1.14" hidden="1">clean_data_table!$E$11:$E$18</definedName>
    <definedName name="_xlchart.v1.15" hidden="1">clean_data_table!$F$4:$F$8</definedName>
    <definedName name="_xlchart.v1.16" hidden="1">clean_data_table!$T$4:$T$39</definedName>
    <definedName name="_xlchart.v1.17" hidden="1">clean_data_table!$U$4:$U$32</definedName>
    <definedName name="_xlchart.v1.18" hidden="1">clean_data_table!$V$4:$V$20</definedName>
    <definedName name="_xlchart.v1.19" hidden="1">clean_data_table!$W$4:$W$13</definedName>
    <definedName name="_xlchart.v1.2" hidden="1">(clean_data_table!$D$4:$D$9,clean_data_table!$D$14:$D$25,clean_data_table!$D$27:$D$30,clean_data_table!$D$34:$D$37)</definedName>
    <definedName name="_xlchart.v1.20" hidden="1">[1]Tabelle2!$F$33:$F$42</definedName>
    <definedName name="_xlchart.v1.21" hidden="1">(clean_data_table!$U$47,clean_data_table!$U$50,clean_data_table!$U$51,clean_data_table!$U$55)</definedName>
    <definedName name="_xlchart.v1.22" hidden="1">clean_data_table!$T$46:$T$56</definedName>
    <definedName name="_xlchart.v1.23" hidden="1">clean_data_table!$T$57:$T$68</definedName>
    <definedName name="_xlchart.v1.24" hidden="1">clean_data_table!$T$69:$T$81</definedName>
    <definedName name="_xlchart.v1.25" hidden="1">clean_data_table!$U$57:$U$68</definedName>
    <definedName name="_xlchart.v1.26" hidden="1">clean_data_table!$U$69:$U$81</definedName>
    <definedName name="_xlchart.v1.27" hidden="1">clean_data_table!$AO$107:$AO$116</definedName>
    <definedName name="_xlchart.v1.28" hidden="1">clean_data_table!$AO$117:$AO$128</definedName>
    <definedName name="_xlchart.v1.29" hidden="1">clean_data_table!$AO$129:$AO$138</definedName>
    <definedName name="_xlchart.v1.3" hidden="1">(clean_data_table!$E$23:$E$34,clean_data_table!$E$17:$E$20,clean_data_table!$E$37)</definedName>
    <definedName name="_xlchart.v1.30" hidden="1">clean_data_table!$AO$139:$AO$151</definedName>
    <definedName name="_xlchart.v1.31" hidden="1">clean_data_table!$AP$108:$AP$115</definedName>
    <definedName name="_xlchart.v1.32" hidden="1">clean_data_table!$AP$117:$AP$128</definedName>
    <definedName name="_xlchart.v1.33" hidden="1">clean_data_table!$AP$129:$AP$138</definedName>
    <definedName name="_xlchart.v1.34" hidden="1">clean_data_table!$AP$139:$AP$151</definedName>
    <definedName name="_xlchart.v1.35" hidden="1">clean_data_table!$AO$107:$AO$116</definedName>
    <definedName name="_xlchart.v1.36" hidden="1">clean_data_table!$AO$117:$AO$128</definedName>
    <definedName name="_xlchart.v1.37" hidden="1">clean_data_table!$AO$129:$AO$138</definedName>
    <definedName name="_xlchart.v1.38" hidden="1">clean_data_table!$AO$139:$AO$151</definedName>
    <definedName name="_xlchart.v1.39" hidden="1">clean_data_table!$AP$108:$AP$115</definedName>
    <definedName name="_xlchart.v1.4" hidden="1">(clean_data_table!$E$7:$E$9,clean_data_table!$E$18:$E$21,clean_data_table!$E$24:$E$25,clean_data_table!$E$27:$E$30,clean_data_table!$E$36:$E$37)</definedName>
    <definedName name="_xlchart.v1.40" hidden="1">clean_data_table!$AP$117:$AP$128</definedName>
    <definedName name="_xlchart.v1.41" hidden="1">clean_data_table!$AP$129:$AP$138</definedName>
    <definedName name="_xlchart.v1.42" hidden="1">clean_data_table!$AP$139:$AP$151</definedName>
    <definedName name="_xlchart.v1.43" hidden="1">(clean_data_table!$AT$4:$AT$5,clean_data_table!$AT$7:$AT$14,clean_data_table!$AT$16:$AT$50)</definedName>
    <definedName name="_xlchart.v1.44" hidden="1">(clean_data_table!$AU$13,clean_data_table!$AU$17:$AU$20,clean_data_table!$AU$23:$AU$24,clean_data_table!$AU$28:$AU$35,clean_data_table!$AU$37:$AU$50)</definedName>
    <definedName name="_xlchart.v1.45" hidden="1">(clean_data_table!$AV$13,clean_data_table!$AV$19,clean_data_table!$AV$29:$AV$34,clean_data_table!$AV$39:$AV$47)</definedName>
    <definedName name="_xlchart.v1.46" hidden="1">(clean_data_table!$G$4:$G$9,clean_data_table!$G$11:$G$12,clean_data_table!$G$14:$G$32,clean_data_table!$G$34:$G$37)</definedName>
    <definedName name="_xlchart.v1.47" hidden="1">(clean_data_table!$H$11:$H$34,clean_data_table!$H$36:$H$37)</definedName>
    <definedName name="_xlchart.v1.48" hidden="1">(clean_data_table!$H$4:$H$9,clean_data_table!$H$14:$H$25,clean_data_table!$H$27:$H$30,clean_data_table!$H$34:$H$37)</definedName>
    <definedName name="_xlchart.v1.49" hidden="1">(clean_data_table!$I$11:$I$12,clean_data_table!$I$14:$I$19)</definedName>
    <definedName name="_xlchart.v1.5" hidden="1">(clean_data_table!$F$28:$F$34,clean_data_table!$F$23:$F$25,clean_data_table!$F$37)</definedName>
    <definedName name="_xlchart.v1.50" hidden="1">(clean_data_table!$I$17:$I$20,clean_data_table!$I$23:$I$34,clean_data_table!$I$37)</definedName>
    <definedName name="_xlchart.v1.51" hidden="1">(clean_data_table!$I$7:$I$9,clean_data_table!$I$18:$I$21,clean_data_table!$I$24:$I$25,clean_data_table!$I$27:$I$30,clean_data_table!$I$36:$I$37)</definedName>
    <definedName name="_xlchart.v1.52" hidden="1">(clean_data_table!$J$14,clean_data_table!$J$16:$J$19)</definedName>
    <definedName name="_xlchart.v1.53" hidden="1">(clean_data_table!$J$23:$J$25,clean_data_table!$J$28:$J$34,clean_data_table!$J$37)</definedName>
    <definedName name="_xlchart.v1.54" hidden="1">(clean_data_table!$J$8:$J$9,clean_data_table!$J$20,clean_data_table!$J$25,clean_data_table!$J$29:$J$30,clean_data_table!$J$36:$J$37)</definedName>
    <definedName name="_xlchart.v1.55" hidden="1">clean_data_table!$AA$4:$AA$13</definedName>
    <definedName name="_xlchart.v1.56" hidden="1">clean_data_table!$AS$4:$AS$50</definedName>
    <definedName name="_xlchart.v1.57" hidden="1">clean_data_table!$G$4:$G$19</definedName>
    <definedName name="_xlchart.v1.58" hidden="1">clean_data_table!$G$4:$G$37</definedName>
    <definedName name="_xlchart.v1.59" hidden="1">clean_data_table!$H$8:$H$19</definedName>
    <definedName name="_xlchart.v1.6" hidden="1">(clean_data_table!$F$8:$F$9,clean_data_table!$F$20,clean_data_table!$F$25,clean_data_table!$F$29:$F$30,clean_data_table!$F$36:$F$37)</definedName>
    <definedName name="_xlchart.v1.60" hidden="1">clean_data_table!$X$4:$X$39</definedName>
    <definedName name="_xlchart.v1.61" hidden="1">clean_data_table!$Y$4:$Y$32</definedName>
    <definedName name="_xlchart.v1.62" hidden="1">clean_data_table!$Z$4:$Z$20</definedName>
    <definedName name="_xlchart.v1.7" hidden="1">clean_data_table!$AF$4:$AF$35</definedName>
    <definedName name="_xlchart.v1.8" hidden="1">clean_data_table!$AG$4:$AG$28</definedName>
    <definedName name="_xlchart.v1.9" hidden="1">clean_data_table!$AH$4:$AH$18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" l="1"/>
  <c r="U3" i="4"/>
  <c r="T3" i="4"/>
  <c r="S3" i="4"/>
  <c r="R3" i="4"/>
  <c r="Q3" i="4"/>
  <c r="P3" i="4"/>
  <c r="O3" i="4"/>
  <c r="O7" i="4"/>
  <c r="P7" i="4"/>
  <c r="T7" i="4" s="1"/>
  <c r="Q7" i="4"/>
  <c r="U7" i="4" s="1"/>
  <c r="R7" i="4"/>
  <c r="P4" i="4"/>
  <c r="Q4" i="4"/>
  <c r="U4" i="4" s="1"/>
  <c r="R4" i="4"/>
  <c r="V4" i="4" s="1"/>
  <c r="P5" i="4"/>
  <c r="T5" i="4" s="1"/>
  <c r="Q5" i="4"/>
  <c r="U5" i="4" s="1"/>
  <c r="R5" i="4"/>
  <c r="P6" i="4"/>
  <c r="Q6" i="4"/>
  <c r="R6" i="4"/>
  <c r="V7" i="4"/>
  <c r="S7" i="4"/>
  <c r="O6" i="4"/>
  <c r="S6" i="4" s="1"/>
  <c r="O5" i="4"/>
  <c r="S5" i="4" s="1"/>
  <c r="O4" i="4"/>
  <c r="S4" i="4" s="1"/>
  <c r="T6" i="4"/>
  <c r="U6" i="4"/>
  <c r="V6" i="4"/>
  <c r="V5" i="4"/>
  <c r="T4" i="4"/>
</calcChain>
</file>

<file path=xl/sharedStrings.xml><?xml version="1.0" encoding="utf-8"?>
<sst xmlns="http://schemas.openxmlformats.org/spreadsheetml/2006/main" count="1295" uniqueCount="242">
  <si>
    <t>Model</t>
  </si>
  <si>
    <t>Mean year per GWL</t>
  </si>
  <si>
    <t>Period per GWL</t>
  </si>
  <si>
    <t>GCM (CMIP6)</t>
  </si>
  <si>
    <t>1.5°C</t>
  </si>
  <si>
    <t>2.0°C</t>
  </si>
  <si>
    <t>3.0°C</t>
  </si>
  <si>
    <t>4.0°C</t>
  </si>
  <si>
    <t>2058-2077</t>
  </si>
  <si>
    <t>CanESM5_ssp119_r1i1p1f1_gn_201501-210012</t>
  </si>
  <si>
    <t>2003-2022</t>
  </si>
  <si>
    <t>2015-2034</t>
  </si>
  <si>
    <t>2020-2039</t>
  </si>
  <si>
    <t>2002-2021</t>
  </si>
  <si>
    <t>IPSL-CM6A-LR_ssp119_r1i1p1f1_gr_201501-210012</t>
  </si>
  <si>
    <t>2009-2028</t>
  </si>
  <si>
    <t>2028-2047</t>
  </si>
  <si>
    <t>2021-2040</t>
  </si>
  <si>
    <t>2030-2049</t>
  </si>
  <si>
    <t>2018-2037</t>
  </si>
  <si>
    <t>2033-2052</t>
  </si>
  <si>
    <t>2064-2083</t>
  </si>
  <si>
    <t>2013-2032</t>
  </si>
  <si>
    <t>2041-2060</t>
  </si>
  <si>
    <t>BCC-CSM2-MR_ssp126_r1i1p1f1_gn_201501-210012</t>
  </si>
  <si>
    <t>2032-2051</t>
  </si>
  <si>
    <t>2050-2069</t>
  </si>
  <si>
    <t>2012-2031</t>
  </si>
  <si>
    <t>2029-2048</t>
  </si>
  <si>
    <t>2017-2036</t>
  </si>
  <si>
    <t>2014-2033</t>
  </si>
  <si>
    <t>2022-2041</t>
  </si>
  <si>
    <t>CNRM-CM6-1-HR_ssp126_r1i1p1f2_gr_201501-210012</t>
  </si>
  <si>
    <t>2008-2027</t>
  </si>
  <si>
    <t>CNRM-CM6-1_ssp126_r1i1p1f2_gr_201501-210012</t>
  </si>
  <si>
    <t>2038-2057</t>
  </si>
  <si>
    <t>2011-2030</t>
  </si>
  <si>
    <t>CanESM5_ssp126_r1i1p1f1_gn_201501-210012</t>
  </si>
  <si>
    <t>2004-2023</t>
  </si>
  <si>
    <t>2034-2053</t>
  </si>
  <si>
    <t>2047-2066</t>
  </si>
  <si>
    <t>2025-2044</t>
  </si>
  <si>
    <t>2019-2038</t>
  </si>
  <si>
    <t>2031-2050</t>
  </si>
  <si>
    <t>2036-2055</t>
  </si>
  <si>
    <t>2027-2046</t>
  </si>
  <si>
    <t>2069-2088</t>
  </si>
  <si>
    <t>IPSL-CM6A-LR_ssp126_r1i1p1f1_gr_201501-210012</t>
  </si>
  <si>
    <t>2010-2029</t>
  </si>
  <si>
    <t>2053-2072</t>
  </si>
  <si>
    <t>2040-2059</t>
  </si>
  <si>
    <t>BCC-CSM2-MR_ssp245_r1i1p1f1_gn_201501-210012</t>
  </si>
  <si>
    <t>2026-2045</t>
  </si>
  <si>
    <t>2048-2067</t>
  </si>
  <si>
    <t>2046-2065</t>
  </si>
  <si>
    <t>2066-2085</t>
  </si>
  <si>
    <t>2057-2076</t>
  </si>
  <si>
    <t>2056-2075</t>
  </si>
  <si>
    <t>CNRM-CM6-1-HR_ssp245_r1i1p1f2_gr_201501-210012</t>
  </si>
  <si>
    <t>2024-2043</t>
  </si>
  <si>
    <t>CNRM-CM6-1_ssp245_r1i1p1f2_gr_201501-210012</t>
  </si>
  <si>
    <t>2039-2058</t>
  </si>
  <si>
    <t>2075-2094</t>
  </si>
  <si>
    <t>2035-2054</t>
  </si>
  <si>
    <t>CanESM5_ssp245_r1i1p1f1_gn_201501-210012</t>
  </si>
  <si>
    <t>2074-2093</t>
  </si>
  <si>
    <t>2081-2100</t>
  </si>
  <si>
    <t>2001-2020</t>
  </si>
  <si>
    <t>2076-2095</t>
  </si>
  <si>
    <t>2023-2042</t>
  </si>
  <si>
    <t>GFDL-CM4_ssp245_r1i1p1f1_gr1_201501-210012</t>
  </si>
  <si>
    <t>GFDL-CM4_ssp245_r1i1p1f1_gr2_201501-210012</t>
  </si>
  <si>
    <t>2037-2056</t>
  </si>
  <si>
    <t>2045-2064</t>
  </si>
  <si>
    <t>2063-2082</t>
  </si>
  <si>
    <t>IPSL-CM6A-LR_ssp245_r1i1p1f1_gr_201501-210012</t>
  </si>
  <si>
    <t>NorESM2-LM_ssp245_r1i1p1f1_gn_201501-210012</t>
  </si>
  <si>
    <t>NorESM2-MM_ssp245_r1i1p1f1_gn_201501-210012</t>
  </si>
  <si>
    <t>2059-2078</t>
  </si>
  <si>
    <t>2060-2079</t>
  </si>
  <si>
    <t>BCC-CSM2-MR_ssp370_r1i1p1f1_gn_201501-210012</t>
  </si>
  <si>
    <t>2065-2084</t>
  </si>
  <si>
    <t>2078-2097</t>
  </si>
  <si>
    <t>CNRM-CM6-1-HR_ssp370_r1i1p1f2_gr_201501-210012</t>
  </si>
  <si>
    <t>2067-2086</t>
  </si>
  <si>
    <t>CNRM-CM6-1_ssp370_r1i1p1f2_gr_201501-210012</t>
  </si>
  <si>
    <t>CanESM5_ssp370_r1i1p1f1_gn_201501-210012</t>
  </si>
  <si>
    <t>2042-2061</t>
  </si>
  <si>
    <t>2049-2068</t>
  </si>
  <si>
    <t>2070-2089</t>
  </si>
  <si>
    <t>IPSL-CM6A-LR_ssp370_r1i1p1f1_gr_201501-210012</t>
  </si>
  <si>
    <t>2061-2080</t>
  </si>
  <si>
    <t>NorESM2-LM_ssp370_r1i1p1f1_gn_201501-210012</t>
  </si>
  <si>
    <t>NorESM2-MM_ssp370_r1i1p1f1_gn_201501-210012</t>
  </si>
  <si>
    <t>BCC-CSM2-MR_ssp585_r1i1p1f1_gn_201501-210012</t>
  </si>
  <si>
    <t>2068-2087</t>
  </si>
  <si>
    <t>CNRM-CM6-1-HR_ssp585_r1i1p1f2_gr_201501-210012</t>
  </si>
  <si>
    <t>CNRM-CM6-1_ssp585_r1i1p1f2_gr_201501-210012</t>
  </si>
  <si>
    <t>CanESM5_ssp585_r1i1p1f1_gn_201501-210012</t>
  </si>
  <si>
    <t>GFDL-CM4_ssp585_r1i1p1f1_gr1_201501-210012</t>
  </si>
  <si>
    <t>GFDL-CM4_ssp585_r1i1p1f1_gr2_201501-210012</t>
  </si>
  <si>
    <t>IPSL-CM6A-LR_ssp585_r1i1p1f1_gr_201501-210012</t>
  </si>
  <si>
    <t>NorESM2-LM_ssp585_r1i1p1f1_gn_201501-210012</t>
  </si>
  <si>
    <t>NorESM2-MM_ssp585_r1i1p1f1_gn_201501-210012</t>
  </si>
  <si>
    <t>AUT GCM CCS 1991-2020</t>
  </si>
  <si>
    <t>Median</t>
  </si>
  <si>
    <t>GCM (CMIP5)</t>
  </si>
  <si>
    <t>CNRM-CM5_rcp26_r1i1p1_200601-210012</t>
  </si>
  <si>
    <t>CanESM2_rcp26_r1i1p1_200601-210012</t>
  </si>
  <si>
    <t>IPSL-CM5A-LR_rcp26_r1i1p1_200601-230012</t>
  </si>
  <si>
    <t>IPSL-CM5A-MR_rcp26_r1i1p1_200601-210012</t>
  </si>
  <si>
    <t>2006-2025</t>
  </si>
  <si>
    <t>NorESM1-ME_rcp26_r1i1p1_200601-210112</t>
  </si>
  <si>
    <t>bcc-csm1-1-m_rcp26_r1i1p1_200601-210012</t>
  </si>
  <si>
    <t>bcc-csm1-1_rcp26_r1i1p1_200601-209912</t>
  </si>
  <si>
    <t>CNRM-CM5_rcp45_r1i1p1_200601-210012</t>
  </si>
  <si>
    <t>CanESM2_rcp45_r1i1p1_200601-210012</t>
  </si>
  <si>
    <t>IPSL-CM5A-LR_rcp45_r1i1p1_200601-230012</t>
  </si>
  <si>
    <t>NorESM1-ME_rcp45_r1i1p1_200601-210212</t>
  </si>
  <si>
    <t>NorESM1-M_rcp45_r1i1p1_200601-210012</t>
  </si>
  <si>
    <t>bcc-csm1-1-m_rcp45_r1i1p1_200601-210012</t>
  </si>
  <si>
    <t>bcc-csm1-1_rcp45_r1i1p1_200601-209912</t>
  </si>
  <si>
    <t>CNRM-CM5_rcp85_r1i1p1_200601-210012</t>
  </si>
  <si>
    <t>CanESM2_rcp85_r1i1p1_200601-210012</t>
  </si>
  <si>
    <t>GFDL-CM3_rcp85_r1i1p1_200601-210012</t>
  </si>
  <si>
    <t>IPSL-CM5A-LR_rcp85_r1i1p1_200601-230012</t>
  </si>
  <si>
    <t>NorESM1-ME_rcp85_r1i1p1_200601-210012</t>
  </si>
  <si>
    <t>NorESM1-M_rcp85_r1i1p1_200601-210012</t>
  </si>
  <si>
    <t>bcc-csm1-1-m_rcp85_r1i1p1_200601-210012</t>
  </si>
  <si>
    <t>bcc-csm1-1_rcp85_r1i1p1_200601-209912</t>
  </si>
  <si>
    <t>rcp</t>
  </si>
  <si>
    <t>rcp26</t>
  </si>
  <si>
    <t>rcp85</t>
  </si>
  <si>
    <t>rcp45</t>
  </si>
  <si>
    <t>ssp</t>
  </si>
  <si>
    <t>ssp119</t>
  </si>
  <si>
    <t>ssp126</t>
  </si>
  <si>
    <t>ssp245</t>
  </si>
  <si>
    <t>ssp370</t>
  </si>
  <si>
    <t>ssp585</t>
  </si>
  <si>
    <t>-&gt;</t>
  </si>
  <si>
    <t>scaling factor</t>
  </si>
  <si>
    <t>p10</t>
  </si>
  <si>
    <t>p25</t>
  </si>
  <si>
    <t>p75</t>
  </si>
  <si>
    <t>p90</t>
  </si>
  <si>
    <t>percentiles</t>
  </si>
  <si>
    <t>percentiles (scaled)</t>
  </si>
  <si>
    <t>Linked models</t>
  </si>
  <si>
    <t>AUT OEKS15 CCS 1991-2020</t>
  </si>
  <si>
    <t>OEKS15 ensemble member</t>
  </si>
  <si>
    <t>EC-EARTH_rcp26_r12i1p1</t>
  </si>
  <si>
    <t>SDM_ICHEC-EC-EARTH_rcp26_r12i1p1_CLMcom-CCLM4-8-17_all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</si>
  <si>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</si>
  <si>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</si>
  <si>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</si>
  <si>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</si>
  <si>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MPI-ESM-LR_rcp26_r2i1p1</t>
  </si>
  <si>
    <t>SDM_MPI-M-MPI-ESM-LR_rcp26_r2i1p1_MPI-CSC-REMO2009_all</t>
  </si>
  <si>
    <t>CNRM-CM5_rcp45_r1i1p1</t>
  </si>
  <si>
    <t>SDM_CNRM-CERFACS-CNRM-CM5_rcp45_r1i1p1_CLMcom-CCLM4-8-17</t>
  </si>
  <si>
    <t>EC-EARTH_rcp45_r12i1p1</t>
  </si>
  <si>
    <t>SDM_ICHEC-EC-EARTH_rcp45_r12i1p1_CLMcom-CCLM4-8-17</t>
  </si>
  <si>
    <t>EC-EARTH_rcp45_r1i1p1</t>
  </si>
  <si>
    <t>SDM_ICHEC-EC-EARTH_rcp45_r1i1p1_KNMI-RACMO22E</t>
  </si>
  <si>
    <t>HadGEM2-ES_rcp45_r1i1p1</t>
  </si>
  <si>
    <t>SDM_MOHC-HadGEM2-ES_rcp45_r1i1p1_CLMcom-CCLM4-8-17</t>
  </si>
  <si>
    <t>IPSL-CM5A-MR_rcp45_r1i1p1</t>
  </si>
  <si>
    <t>SDM_IPSL-IPSL-CM5A-MR_rcp45_r1i1p1_IPSL-INERIS-WRF331F</t>
  </si>
  <si>
    <t>MPI-ESM-LR_rcp45_r1i1p1</t>
  </si>
  <si>
    <t>SDM_MPI-M-MPI-ESM-LR_rcp45_r1i1p1_CLMcom-CCLM4-8-17</t>
  </si>
  <si>
    <t>CNRM-CM5_rcp85_r1i1p1</t>
  </si>
  <si>
    <t>SDM_CNRM-CERFACS-CNRM-CM5_rcp85_r1i1p1_CLMcom-CCLM4-8-17</t>
  </si>
  <si>
    <t>EC-EARTH_rcp85_r12i1p1</t>
  </si>
  <si>
    <t>SDM_ICHEC-EC-EARTH_rcp85_r12i1p1_CLMcom-CCLM4-8-17</t>
  </si>
  <si>
    <t>EC-EARTH_rcp85_r1i1p1</t>
  </si>
  <si>
    <t>SDM_ICHEC-EC-EARTH_rcp85_r1i1p1_KNMI-RACMO22E</t>
  </si>
  <si>
    <t>HadGEM2-ES_rcp85_r1i1p1</t>
  </si>
  <si>
    <t>SDM_MOHC-HadGEM2-ES_rcp85_r1i1p1_CLMcom-CCLM4-8-17</t>
  </si>
  <si>
    <t>IPSL-CM5A-MR_rcp85_r1i1p1</t>
  </si>
  <si>
    <t>SDM_IPSL-IPSL-CM5A-MR_rcp85_r1i1p1_IPSL-INERIS-WRF331F</t>
  </si>
  <si>
    <t>MPI-ESM-LR_rcp85_r1i1p1</t>
  </si>
  <si>
    <t>SDM_MPI-M-MPI-ESM-LR_rcp85_r1i1p1_CLMcom-CCLM4-8-17</t>
  </si>
  <si>
    <t>EC-EARTH_rcp26_r12i1p1_200601-210012</t>
  </si>
  <si>
    <t>HadGEM2-ES_rcp26_r1i1p1_200512-209911</t>
  </si>
  <si>
    <t>MPI-ESM-LR_rcp26_r1i1p1_200601-210012</t>
  </si>
  <si>
    <t>MPI-ESM-LR_rcp26_r2i1p1_200601-210012</t>
  </si>
  <si>
    <t>2007-2026</t>
  </si>
  <si>
    <t>EC-EARTH_rcp45_r12i1p1_200601-210012</t>
  </si>
  <si>
    <t>EC-EARTH_rcp45_r1i1p1_200601-209912</t>
  </si>
  <si>
    <t>HadGEM2-ES_rcp45_r1i1p1_200512-209911</t>
  </si>
  <si>
    <t>IPSL-CM5A-MR_rcp45_r1i1p1_200601-210012</t>
  </si>
  <si>
    <t>MPI-ESM-LR_rcp45_r1i1p1_200601-210012</t>
  </si>
  <si>
    <t>EC-EARTH_rcp85_r12i1p1_200601-210012</t>
  </si>
  <si>
    <t>2051-2070</t>
  </si>
  <si>
    <t>EC-EARTH_rcp85_r1i1p1_200601-210012</t>
  </si>
  <si>
    <t>2052-2071</t>
  </si>
  <si>
    <t>2073-2092</t>
  </si>
  <si>
    <t>HadGEM2-ES_rcp85_r1i1p1_200512-209912</t>
  </si>
  <si>
    <t>2062-2081</t>
  </si>
  <si>
    <t>IPSL-CM5A-MR_rcp85_r1i1p1_200601-210012</t>
  </si>
  <si>
    <t>MPI-ESM-LR_rcp85_r1i1p1_200601-210012</t>
  </si>
  <si>
    <t>2072-2091</t>
  </si>
  <si>
    <t>EC-Earth3_ssp126_r1i1p1f1_gr_201501-210012</t>
  </si>
  <si>
    <t>HadGEM3-GC31-LL_ssp126_r1i1p1f3_gn_201501-210012</t>
  </si>
  <si>
    <t>HadGEM3-GC31-MM_ssp126_r1i1p1f3_gn_201501-210012</t>
  </si>
  <si>
    <t>IPSL-CM5A2-INCA_ssp126_r1i1p1f1_gr_201501-210012</t>
  </si>
  <si>
    <t>MPI-ESM1-2-LR_ssp126_r1i1p1f1_gn_201501-210012</t>
  </si>
  <si>
    <t>EC-Earth3_ssp245_r1i1p1f1_gr_201501-210012</t>
  </si>
  <si>
    <t>HadGEM3-GC31-LL_ssp245_r1i1p1f3_gn_201501-210012</t>
  </si>
  <si>
    <t>MPI-ESM1-2-LR_ssp245_r1i1p1f1_gn_201501-210012</t>
  </si>
  <si>
    <t>EC-Earth3_ssp370_r1i1p1f1_gr_201501-210012</t>
  </si>
  <si>
    <t>2054-2073</t>
  </si>
  <si>
    <t>IPSL-CM5A2-INCA_ssp370_r1i1p1f1_gr_201501-210012</t>
  </si>
  <si>
    <t>MPI-ESM1-2-LR_ssp370_r1i1p1f1_gn_201501-210012</t>
  </si>
  <si>
    <t>2043-2062</t>
  </si>
  <si>
    <t>EC-Earth3_ssp585_r1i1p1f1_gr_201501-210012</t>
  </si>
  <si>
    <t>HadGEM3-GC31-LL_ssp585_r1i1p1f3_gn_201501-210012</t>
  </si>
  <si>
    <t>HadGEM3-GC31-MM_ssp585_r1i1p1f3_gn_201501-210012</t>
  </si>
  <si>
    <t>2016-2035</t>
  </si>
  <si>
    <t>2055-2074</t>
  </si>
  <si>
    <t>MPI-ESM1-2-LR_ssp585_r1i1p1f1_gn_201501-210012</t>
  </si>
  <si>
    <t>SDM_ICHEC-EC-EARTH_rcp26_r12i1p1_KNMI-RACMO22E_all</t>
  </si>
  <si>
    <t>SDM_ICHEC-EC-EARTH_rcp26_r12i1p1_SMHI-RCA4_all</t>
  </si>
  <si>
    <t>SDM_MPI-M-MPI-ESM-LR_rcp26_r1i1p1_SMHI-RCA4_all</t>
  </si>
  <si>
    <t>SDM_CNRM-CERFACS-CNRM-CM5_rcp45_r1i1p1_CNRM-ALADIN53</t>
  </si>
  <si>
    <t>SDM_CNRM-CERFACS-CNRM-CM5_rcp45_r1i1p1_SMHI-RCA4</t>
  </si>
  <si>
    <t>SDM_ICHEC-EC-EARTH_rcp45_r12i1p1_SMHI-RCA4</t>
  </si>
  <si>
    <t>SDM_MOHC-HadGEM2-ES_rcp45_r1i1p1_SMHI-RCA4</t>
  </si>
  <si>
    <t>SDM_IPSL-IPSL-CM5A-MR_rcp45_r1i1p1_SMHI-RCA4</t>
  </si>
  <si>
    <t>SDM_MPI-M-MPI-ESM-LR_rcp45_r1i1p1_SMHI-RCA4</t>
  </si>
  <si>
    <t>SDM_CNRM-CERFACS-CNRM-CM5_rcp85_r1i1p1_CNRM-ALADIN53</t>
  </si>
  <si>
    <t>SDM_CNRM-CERFACS-CNRM-CM5_rcp85_r1i1p1_SMHI-RCA4</t>
  </si>
  <si>
    <t>SDM_ICHEC-EC-EARTH_rcp85_r12i1p1_SMHI-RCA4</t>
  </si>
  <si>
    <t>SDM_MOHC-HadGEM2-ES_rcp85_r1i1p1_SMHI-RCA4</t>
  </si>
  <si>
    <t>SDM_IPSL-IPSL-CM5A-MR_rcp85_r1i1p1_SMHI-RCA4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</si>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</sst>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64" fontId="0" fillId="0" borderId="0" xfId="0" applyNumberFormat="1"/>
    <xf numFmtId="0" fontId="0" fillId="0" borderId="0" xfId="0" quotePrefix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styles" Target="styles.xml"/><Relationship Id="rId5" Type="http://schemas.openxmlformats.org/officeDocument/2006/relationships/chartsheet" Target="chartsheets/sheet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  <cx:data id="1">
      <cx:numDim type="val">
        <cx:f>_xlchart.v1.16</cx:f>
      </cx:numDim>
    </cx:data>
    <cx:data id="2">
      <cx:numDim type="val">
        <cx:f>_xlchart.v1.7</cx:f>
      </cx:numDim>
    </cx:data>
    <cx:data id="3"/>
    <cx:data id="4">
      <cx:numDim type="val">
        <cx:f>_xlchart.v1.2</cx:f>
      </cx:numDim>
    </cx:data>
    <cx:data id="5">
      <cx:numDim type="val">
        <cx:f>_xlchart.v1.17</cx:f>
      </cx:numDim>
    </cx:data>
    <cx:data id="6">
      <cx:numDim type="val">
        <cx:f>_xlchart.v1.8</cx:f>
      </cx:numDim>
    </cx:data>
    <cx:data id="7"/>
    <cx:data id="8">
      <cx:numDim type="val">
        <cx:f>_xlchart.v1.4</cx:f>
      </cx:numDim>
    </cx:data>
    <cx:data id="9">
      <cx:numDim type="val">
        <cx:f>_xlchart.v1.18</cx:f>
      </cx:numDim>
    </cx:data>
    <cx:data id="10">
      <cx:numDim type="val">
        <cx:f>_xlchart.v1.9</cx:f>
      </cx:numDim>
    </cx:data>
    <cx:data id="11"/>
    <cx:data id="12">
      <cx:numDim type="val">
        <cx:f>_xlchart.v1.6</cx:f>
      </cx:numDim>
    </cx:data>
    <cx:data id="13">
      <cx:numDim type="val">
        <cx:f>_xlchart.v1.19</cx:f>
      </cx:numDim>
    </cx:data>
    <cx:data id="14">
      <cx:numDim type="val">
        <cx:f>_xlchart.v1.10</cx:f>
      </cx:numDim>
    </cx:data>
  </cx:chartData>
  <cx:chart>
    <cx:title pos="t" align="ctr" overlay="0">
      <cx:tx>
        <cx:txData>
          <cx:v>Date of reaching GWLs: CMIP5 (OEKS15)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CMIP5 (OEKS15) vs. CMIP5 (whole ensemble) vs. CMIP6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v>1.5°C OEKS15 (31)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1.5°C CMIP5 (36)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5-F426-B545-914D-AF7B955F3256}">
          <cx:tx>
            <cx:txData>
              <cx:f/>
              <cx:v>1.5°C CMIP6 (32)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6-F426-B545-914D-AF7B955F3256}">
          <cx:dataId val="3"/>
          <cx:layoutPr>
            <cx:statistics quartileMethod="exclusive"/>
          </cx:layoutPr>
        </cx:series>
        <cx:series layoutId="boxWhisker" uniqueId="{00000007-F426-B545-914D-AF7B955F3256}">
          <cx:tx>
            <cx:txData>
              <cx:v>2.0°C OEKS15 (26)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8-F426-B545-914D-AF7B955F3256}">
          <cx:tx>
            <cx:txData>
              <cx:f/>
              <cx:v>2.0°C CMIP5 (29)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9-F426-B545-914D-AF7B955F3256}">
          <cx:tx>
            <cx:txData>
              <cx:f/>
              <cx:v>2.0°C CMIP6 (25)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 outliers="1"/>
            <cx:statistics quartileMethod="exclusive"/>
          </cx:layoutPr>
        </cx:series>
        <cx:series layoutId="boxWhisker" uniqueId="{0000000A-F426-B545-914D-AF7B955F3256}">
          <cx:dataId val="7"/>
          <cx:layoutPr>
            <cx:statistics quartileMethod="exclusive"/>
          </cx:layoutPr>
        </cx:series>
        <cx:series layoutId="boxWhisker" uniqueId="{0000000B-F426-B545-914D-AF7B955F3256}">
          <cx:tx>
            <cx:txData>
              <cx:v>3.0°C OEKS15 (15)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C-F426-B545-914D-AF7B955F3256}">
          <cx:tx>
            <cx:txData>
              <cx:f/>
              <cx:v>3.0°C CMIP5 (17)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D-F426-B545-914D-AF7B955F3256}">
          <cx:tx>
            <cx:txData>
              <cx:f/>
              <cx:v>3.0°C CMIP6 (15)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E-F426-B545-914D-AF7B955F3256}">
          <cx:dataId val="11"/>
          <cx:layoutPr>
            <cx:statistics quartileMethod="exclusive"/>
          </cx:layoutPr>
        </cx:series>
        <cx:series layoutId="boxWhisker" uniqueId="{0000000F-F426-B545-914D-AF7B955F3256}">
          <cx:tx>
            <cx:txData>
              <cx:v>4.0°C OEKS15 (8)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10-F426-B545-914D-AF7B955F3256}">
          <cx:tx>
            <cx:txData>
              <cx:f/>
              <cx:v>4.0°C CMIP5 (10)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11-F426-B545-914D-AF7B955F3256}">
          <cx:tx>
            <cx:txData>
              <cx:f/>
              <cx:v>4.0°C CMIP6 (8)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_xlchart.v1.23</cx:f>
      </cx:numDim>
    </cx:data>
    <cx:data id="2">
      <cx:numDim type="val">
        <cx:f>_xlchart.v1.24</cx:f>
      </cx:numDim>
    </cx:data>
    <cx:data id="3">
      <cx:numDim type="val">
        <cx:f>_xlchart.v1.20</cx:f>
      </cx:numDim>
    </cx:data>
    <cx:data id="4">
      <cx:numDim type="val">
        <cx:f>_xlchart.v1.21</cx:f>
      </cx:numDim>
    </cx:data>
    <cx:data id="5">
      <cx:numDim type="val">
        <cx:f>_xlchart.v1.25</cx:f>
      </cx:numDim>
    </cx:data>
    <cx:data id="6">
      <cx:numDim type="val">
        <cx:f>_xlchart.v1.26</cx:f>
      </cx:numDim>
    </cx:data>
  </cx:chartData>
  <cx:chart>
    <cx:title pos="t" align="ctr" overlay="0">
      <cx:tx>
        <cx:txData>
          <cx:v>Date of reaching GWLs for three RCPs within the CMIP5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three RCPs within the CMIP5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RCP2.6 (11)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RCP4.5 (12)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RCP8.5 (13)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RCP2.6 (4)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RCP4.5 (12)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RCP8.5 (13)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  <cx:data id="1">
      <cx:numDim type="val">
        <cx:f>_xlchart.v1.28</cx:f>
      </cx:numDim>
    </cx:data>
    <cx:data id="2">
      <cx:numDim type="val">
        <cx:f>_xlchart.v1.29</cx:f>
      </cx:numDim>
    </cx:data>
    <cx:data id="3">
      <cx:numDim type="val">
        <cx:f>_xlchart.v1.30</cx:f>
      </cx:numDim>
    </cx:data>
    <cx:data id="4"/>
    <cx:data id="5">
      <cx:numDim type="val">
        <cx:f>_xlchart.v1.31</cx:f>
      </cx:numDim>
    </cx:data>
    <cx:data id="6">
      <cx:numDim type="val">
        <cx:f>_xlchart.v1.32</cx:f>
      </cx:numDim>
    </cx:data>
    <cx:data id="7">
      <cx:numDim type="val">
        <cx:f>_xlchart.v1.33</cx:f>
      </cx:numDim>
    </cx:data>
    <cx:data id="8">
      <cx:numDim type="val">
        <cx:f>_xlchart.v1.34</cx:f>
      </cx:numDim>
    </cx:data>
  </cx:chartData>
  <cx:chart>
    <cx:title pos="t" align="ctr" overlay="0">
      <cx:tx>
        <cx:txData>
          <cx:v>Date of reaching GWLs for four SSPs within the CMIP6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four SSPs within the CMIP6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SSP126 (10)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28D6-F44A-AAB0-67386F647F24}">
          <cx:tx>
            <cx:txData>
              <cx:f/>
              <cx:v>1.5°C SSP245 (12)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28D6-F44A-AAB0-67386F647F24}">
          <cx:tx>
            <cx:txData>
              <cx:f/>
              <cx:v>1.5°C SSP370 (10)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 outliers="1"/>
            <cx:statistics quartileMethod="exclusive"/>
          </cx:layoutPr>
        </cx:series>
        <cx:series layoutId="boxWhisker" uniqueId="{00000003-28D6-F44A-AAB0-67386F647F24}">
          <cx:tx>
            <cx:txData>
              <cx:f/>
              <cx:v>1.5°C SSP585 (13)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3"/>
          <cx:layoutPr>
            <cx:visibility meanLine="1" meanMarker="0" nonoutliers="0" outliers="1"/>
            <cx:statistics quartileMethod="exclusive"/>
          </cx:layoutPr>
        </cx:series>
        <cx:series layoutId="boxWhisker" uniqueId="{00000004-28D6-F44A-AAB0-67386F647F24}">
          <cx:dataId val="4"/>
          <cx:layoutPr>
            <cx:statistics quartileMethod="exclusive"/>
          </cx:layoutPr>
        </cx:series>
        <cx:series layoutId="boxWhisker" uniqueId="{00000005-28D6-F44A-AAB0-67386F647F24}">
          <cx:tx>
            <cx:txData>
              <cx:f/>
              <cx:v>2.0°C SSP126 (8)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6-28D6-F44A-AAB0-67386F647F24}">
          <cx:tx>
            <cx:txData>
              <cx:f/>
              <cx:v>2.0°C SSP245 (12)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 outliers="1"/>
            <cx:statistics quartileMethod="exclusive"/>
          </cx:layoutPr>
        </cx:series>
        <cx:series layoutId="boxWhisker" uniqueId="{00000007-28D6-F44A-AAB0-67386F647F24}">
          <cx:tx>
            <cx:txData>
              <cx:f/>
              <cx:v>2.0°C SSP370 (10)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7"/>
          <cx:layoutPr>
            <cx:visibility meanLine="1" meanMarker="0" nonoutliers="0"/>
            <cx:statistics quartileMethod="exclusive"/>
          </cx:layoutPr>
        </cx:series>
        <cx:series layoutId="boxWhisker" uniqueId="{00000008-28D6-F44A-AAB0-67386F647F24}">
          <cx:tx>
            <cx:txData>
              <cx:f/>
              <cx:v>2.0°C SSP585 (13)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  <cx:data id="1">
      <cx:numDim type="val">
        <cx:f>_xlchart.v1.60</cx:f>
      </cx:numDim>
    </cx:data>
    <cx:data id="2">
      <cx:numDim type="val">
        <cx:f>_xlchart.v1.56</cx:f>
      </cx:numDim>
    </cx:data>
    <cx:data id="3"/>
    <cx:data id="4">
      <cx:numDim type="val">
        <cx:f>_xlchart.v1.48</cx:f>
      </cx:numDim>
    </cx:data>
    <cx:data id="5">
      <cx:numDim type="val">
        <cx:f>_xlchart.v1.61</cx:f>
      </cx:numDim>
    </cx:data>
    <cx:data id="6">
      <cx:numDim type="val">
        <cx:f>_xlchart.v1.43</cx:f>
      </cx:numDim>
    </cx:data>
    <cx:data id="7"/>
    <cx:data id="8">
      <cx:numDim type="val">
        <cx:f>_xlchart.v1.51</cx:f>
      </cx:numDim>
    </cx:data>
    <cx:data id="9">
      <cx:numDim type="val">
        <cx:f>_xlchart.v1.62</cx:f>
      </cx:numDim>
    </cx:data>
    <cx:data id="10">
      <cx:numDim type="val">
        <cx:f>_xlchart.v1.44</cx:f>
      </cx:numDim>
    </cx:data>
    <cx:data id="11"/>
    <cx:data id="12">
      <cx:numDim type="val">
        <cx:f>_xlchart.v1.54</cx:f>
      </cx:numDim>
    </cx:data>
    <cx:data id="13">
      <cx:numDim type="val">
        <cx:f>_xlchart.v1.55</cx:f>
      </cx:numDim>
    </cx:data>
    <cx:data id="14">
      <cx:numDim type="val">
        <cx:f>_xlchart.v1.45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Regional climate change signal (relative to 1991-2020) over Austria for four GWLs:</a:t>
            </a:r>
          </a:p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00000000-3A1F-314D-96F3-FCEFF558ED6E}" formatIdx="0">
          <cx:tx>
            <cx:txData>
              <cx:v>1.5°C OEKS15 (31)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0-B033-7944-80DA-C75347CC91BA}">
          <cx:tx>
            <cx:txData>
              <cx:v>1.5°C CMIP5 (36)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1-B033-7944-80DA-C75347CC91BA}">
          <cx:tx>
            <cx:txData>
              <cx:v>1.5°C CMIP6 (47)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2-B033-7944-80DA-C75347CC91BA}">
          <cx:dataId val="3"/>
          <cx:layoutPr>
            <cx:statistics quartileMethod="exclusive"/>
          </cx:layoutPr>
        </cx:series>
        <cx:series layoutId="boxWhisker" uniqueId="{00000003-B033-7944-80DA-C75347CC91BA}">
          <cx:tx>
            <cx:txData>
              <cx:v>2.0°C OEKS15 (26)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4-B033-7944-80DA-C75347CC91BA}">
          <cx:tx>
            <cx:txData>
              <cx:v>2.0°C CMIP5 (29)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5-B033-7944-80DA-C75347CC91BA}">
          <cx:tx>
            <cx:txData>
              <cx:v>2.0°C CMIP6 (45)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6-B033-7944-80DA-C75347CC91BA}">
          <cx:dataId val="7"/>
          <cx:layoutPr>
            <cx:statistics quartileMethod="exclusive"/>
          </cx:layoutPr>
        </cx:series>
        <cx:series layoutId="boxWhisker" uniqueId="{00000007-B033-7944-80DA-C75347CC91BA}">
          <cx:tx>
            <cx:txData>
              <cx:v>3.0°C OEKS15 (15)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8-B033-7944-80DA-C75347CC91BA}">
          <cx:tx>
            <cx:txData>
              <cx:v>3.0°C CMIP5 (17)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9-B033-7944-80DA-C75347CC91BA}">
          <cx:tx>
            <cx:txData>
              <cx:v>3.0°C CMIP6 (29)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A-B033-7944-80DA-C75347CC91BA}">
          <cx:dataId val="11"/>
          <cx:layoutPr>
            <cx:statistics quartileMethod="exclusive"/>
          </cx:layoutPr>
        </cx:series>
        <cx:series layoutId="boxWhisker" uniqueId="{0000000B-B033-7944-80DA-C75347CC91BA}">
          <cx:tx>
            <cx:txData>
              <cx:v>4.0°C OEKS15 (8)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0C-B033-7944-80DA-C75347CC91BA}">
          <cx:tx>
            <cx:txData>
              <cx:v>4.0°C CMIP5 (10)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0D-B033-7944-80DA-C75347CC91BA}">
          <cx:tx>
            <cx:txData>
              <cx:v>4.0°C CMIP6 (17)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" min="0"/>
        <cx:title>
          <cx:tx>
            <cx:txData>
              <cx:v>Mean temperature change relative to 1991-2020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Mean temperature change relative to 1991-2020 (°C)</a:t>
              </a:r>
            </a:p>
          </cx:txPr>
        </cx:title>
        <cx:majorGridlines/>
        <cx:majorTickMarks type="out"/>
        <cx:tickLabels/>
        <cx:numFmt formatCode="0.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446655-1AB5-4E4D-8BAB-0B0C1FAA8780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423599-8E27-8042-B5B6-09ACCA2F49E9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50550D-49AF-3142-94C0-C0EB13DCE9E3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1644377-E7AA-444F-8468-BD962E936055}">
  <sheetPr/>
  <sheetViews>
    <sheetView zoomScale="136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B0006D6-9B94-C729-F109-855C29EBE831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2C3E8892-FE2C-6180-E16E-C3B5F10CF3D5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92EE94C2-7835-77C8-F3E3-76CE0548CBEA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0F5E123C-5AC3-A217-4A65-B824B1F6D532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3DB93000-C289-11B5-B888-9442A36C4C2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9B527720-3C79-1FAD-5540-44542CE0399F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19559" cy="6032500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CE6A17DE-8724-6B01-4190-DD725C052D42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6B6792DE-3942-EFE5-C2D3-02F2FEEDE85C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9559" cy="6032500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3">
          <cell r="F33" t="str">
            <v>2010-2029</v>
          </cell>
        </row>
        <row r="34">
          <cell r="F34" t="str">
            <v>2013-2032</v>
          </cell>
        </row>
        <row r="35">
          <cell r="F35" t="str">
            <v>2014-2033</v>
          </cell>
        </row>
        <row r="36">
          <cell r="F36" t="str">
            <v>2001-2020</v>
          </cell>
        </row>
        <row r="37">
          <cell r="F37" t="str">
            <v>2006-2025</v>
          </cell>
        </row>
        <row r="38">
          <cell r="F38" t="str">
            <v>2008-2027</v>
          </cell>
        </row>
        <row r="39">
          <cell r="F39" t="str">
            <v>2024-2043</v>
          </cell>
        </row>
        <row r="40">
          <cell r="F40" t="str">
            <v>2023-2042</v>
          </cell>
        </row>
        <row r="41">
          <cell r="F41" t="str">
            <v>2001-2020</v>
          </cell>
        </row>
        <row r="42">
          <cell r="F42" t="str">
            <v>2010-2029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BA8D8-38A6-D64C-8995-1DD32E209727}">
  <dimension ref="A1:X49"/>
  <sheetViews>
    <sheetView workbookViewId="0">
      <selection activeCell="V3" sqref="V3"/>
    </sheetView>
  </sheetViews>
  <sheetFormatPr baseColWidth="10" defaultRowHeight="16" x14ac:dyDescent="0.2"/>
  <cols>
    <col min="1" max="1" width="47" bestFit="1" customWidth="1"/>
    <col min="2" max="2" width="6.83203125" bestFit="1" customWidth="1"/>
    <col min="24" max="24" width="12.1640625" bestFit="1" customWidth="1"/>
  </cols>
  <sheetData>
    <row r="1" spans="1:24" x14ac:dyDescent="0.2">
      <c r="A1" s="1" t="s">
        <v>0</v>
      </c>
      <c r="B1" s="1"/>
      <c r="C1" s="24" t="s">
        <v>1</v>
      </c>
      <c r="D1" s="24"/>
      <c r="E1" s="24"/>
      <c r="F1" s="24"/>
      <c r="G1" s="24" t="s">
        <v>2</v>
      </c>
      <c r="H1" s="24"/>
      <c r="I1" s="24"/>
      <c r="J1" s="24"/>
      <c r="K1" s="24" t="s">
        <v>104</v>
      </c>
      <c r="L1" s="24"/>
      <c r="M1" s="24"/>
      <c r="N1" s="24"/>
      <c r="O1" s="24" t="s">
        <v>146</v>
      </c>
      <c r="P1" s="24"/>
      <c r="Q1" s="24"/>
      <c r="R1" s="24"/>
      <c r="S1" s="24" t="s">
        <v>147</v>
      </c>
      <c r="T1" s="24"/>
      <c r="U1" s="24"/>
      <c r="V1" s="24"/>
    </row>
    <row r="2" spans="1:24" x14ac:dyDescent="0.2">
      <c r="A2" s="1" t="s">
        <v>3</v>
      </c>
      <c r="B2" s="1" t="s">
        <v>134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4</v>
      </c>
      <c r="L2" s="1" t="s">
        <v>5</v>
      </c>
      <c r="M2" s="1" t="s">
        <v>6</v>
      </c>
      <c r="N2" s="1" t="s">
        <v>7</v>
      </c>
      <c r="O2" s="1" t="s">
        <v>4</v>
      </c>
      <c r="P2" s="1" t="s">
        <v>5</v>
      </c>
      <c r="Q2" s="1" t="s">
        <v>6</v>
      </c>
      <c r="R2" s="1" t="s">
        <v>7</v>
      </c>
      <c r="S2" s="1" t="s">
        <v>4</v>
      </c>
      <c r="T2" s="1" t="s">
        <v>5</v>
      </c>
      <c r="U2" s="1" t="s">
        <v>6</v>
      </c>
      <c r="V2" s="1" t="s">
        <v>7</v>
      </c>
    </row>
    <row r="3" spans="1:24" x14ac:dyDescent="0.2">
      <c r="A3" t="s">
        <v>9</v>
      </c>
      <c r="B3" t="s">
        <v>135</v>
      </c>
      <c r="C3">
        <v>2013</v>
      </c>
      <c r="D3">
        <v>2025</v>
      </c>
      <c r="G3" t="s">
        <v>10</v>
      </c>
      <c r="H3" t="s">
        <v>11</v>
      </c>
      <c r="K3">
        <v>0.39268916094745798</v>
      </c>
      <c r="L3">
        <v>1.12528774120191</v>
      </c>
      <c r="O3" s="2">
        <f>MEDIAN(K3:K49)</f>
        <v>0.94930597184294896</v>
      </c>
      <c r="P3" s="2">
        <f>MEDIAN(L3:L49)</f>
        <v>1.4934826904101901</v>
      </c>
      <c r="Q3" s="2">
        <f>MEDIAN(M3:M49)</f>
        <v>2.6564833999999999</v>
      </c>
      <c r="R3" s="2">
        <f>MEDIAN(N3:N49)</f>
        <v>3.6274086208958898</v>
      </c>
      <c r="S3" s="2">
        <f>O3*$X$14</f>
        <v>0.84489750383577411</v>
      </c>
      <c r="T3" s="2">
        <f>P3*$X$14</f>
        <v>1.3292234901881157</v>
      </c>
      <c r="U3" s="2">
        <f>Q3*$X$14</f>
        <v>2.3643127297344</v>
      </c>
      <c r="V3" s="2">
        <f>R3*$X$14</f>
        <v>3.2284517111352762</v>
      </c>
      <c r="W3" t="s">
        <v>105</v>
      </c>
    </row>
    <row r="4" spans="1:24" x14ac:dyDescent="0.2">
      <c r="A4" t="s">
        <v>14</v>
      </c>
      <c r="B4" t="s">
        <v>135</v>
      </c>
      <c r="C4">
        <v>2019</v>
      </c>
      <c r="D4">
        <v>2038</v>
      </c>
      <c r="G4" t="s">
        <v>15</v>
      </c>
      <c r="H4" t="s">
        <v>16</v>
      </c>
      <c r="K4">
        <v>0.5449524</v>
      </c>
      <c r="L4">
        <v>1.2996490999999999</v>
      </c>
      <c r="O4" s="2">
        <f>_xlfn.PERCENTILE.INC(K3:K49, 0.1)</f>
        <v>0.39699577614114057</v>
      </c>
      <c r="P4" s="2">
        <f t="shared" ref="P4:R4" si="0">_xlfn.PERCENTILE.INC(L3:L49, 0.1)</f>
        <v>0.96714632</v>
      </c>
      <c r="Q4" s="2">
        <f t="shared" si="0"/>
        <v>2.0351990817866397</v>
      </c>
      <c r="R4" s="2">
        <f t="shared" si="0"/>
        <v>3.4129171456533682</v>
      </c>
      <c r="S4" s="2">
        <f t="shared" ref="S4:V7" si="1">O4*$X$14</f>
        <v>0.35333259269803335</v>
      </c>
      <c r="T4" s="2">
        <f t="shared" si="1"/>
        <v>0.86077569914112007</v>
      </c>
      <c r="U4" s="2">
        <f t="shared" si="1"/>
        <v>1.811359745975418</v>
      </c>
      <c r="V4" s="2">
        <f t="shared" si="1"/>
        <v>3.0375508663058284</v>
      </c>
      <c r="W4" t="s">
        <v>142</v>
      </c>
    </row>
    <row r="5" spans="1:24" x14ac:dyDescent="0.2">
      <c r="A5" t="s">
        <v>24</v>
      </c>
      <c r="B5" t="s">
        <v>136</v>
      </c>
      <c r="C5">
        <v>2042</v>
      </c>
      <c r="G5" t="s">
        <v>25</v>
      </c>
      <c r="K5">
        <v>0.50765736677745898</v>
      </c>
      <c r="O5" s="2">
        <f>_xlfn.PERCENTILE.INC(K3:K49, 0.25)</f>
        <v>0.53499754999999993</v>
      </c>
      <c r="P5" s="2">
        <f t="shared" ref="P5:R5" si="2">_xlfn.PERCENTILE.INC(L3:L49, 0.25)</f>
        <v>1.1765928095117699</v>
      </c>
      <c r="Q5" s="2">
        <f t="shared" si="2"/>
        <v>2.3489683580133098</v>
      </c>
      <c r="R5" s="2">
        <f t="shared" si="2"/>
        <v>3.47663613778573</v>
      </c>
      <c r="S5" s="2">
        <f t="shared" si="1"/>
        <v>0.47615637946079997</v>
      </c>
      <c r="T5" s="2">
        <f t="shared" si="1"/>
        <v>1.0471864259504275</v>
      </c>
      <c r="U5" s="2">
        <f t="shared" si="1"/>
        <v>2.0906194221255738</v>
      </c>
      <c r="V5" s="2">
        <f t="shared" si="1"/>
        <v>3.0942617888075046</v>
      </c>
      <c r="W5" t="s">
        <v>143</v>
      </c>
    </row>
    <row r="6" spans="1:24" x14ac:dyDescent="0.2">
      <c r="A6" t="s">
        <v>32</v>
      </c>
      <c r="B6" t="s">
        <v>136</v>
      </c>
      <c r="C6">
        <v>2018</v>
      </c>
      <c r="D6">
        <v>2031</v>
      </c>
      <c r="G6" t="s">
        <v>33</v>
      </c>
      <c r="H6" t="s">
        <v>17</v>
      </c>
      <c r="K6">
        <v>0.71423186692603902</v>
      </c>
      <c r="L6">
        <v>0.94311847540844496</v>
      </c>
      <c r="O6" s="2">
        <f>_xlfn.PERCENTILE.INC(K3:K49, 0.75)</f>
        <v>1.1257229660673849</v>
      </c>
      <c r="P6" s="2">
        <f t="shared" ref="P6:R6" si="3">_xlfn.PERCENTILE.INC(L3:L49, 0.75)</f>
        <v>1.9069431740552201</v>
      </c>
      <c r="Q6" s="2">
        <f t="shared" si="3"/>
        <v>3.0094896104601001</v>
      </c>
      <c r="R6" s="2">
        <f t="shared" si="3"/>
        <v>4.1262420000000004</v>
      </c>
      <c r="S6" s="2">
        <f t="shared" si="1"/>
        <v>1.0019114513674297</v>
      </c>
      <c r="T6" s="2">
        <f t="shared" si="1"/>
        <v>1.6972099359999309</v>
      </c>
      <c r="U6" s="2">
        <f t="shared" si="1"/>
        <v>2.6784939051432564</v>
      </c>
      <c r="V6" s="2">
        <f t="shared" si="1"/>
        <v>3.6724213998720003</v>
      </c>
      <c r="W6" t="s">
        <v>144</v>
      </c>
    </row>
    <row r="7" spans="1:24" x14ac:dyDescent="0.2">
      <c r="A7" t="s">
        <v>34</v>
      </c>
      <c r="B7" t="s">
        <v>136</v>
      </c>
      <c r="C7">
        <v>2028</v>
      </c>
      <c r="D7">
        <v>2060</v>
      </c>
      <c r="G7" t="s">
        <v>19</v>
      </c>
      <c r="H7" t="s">
        <v>26</v>
      </c>
      <c r="K7">
        <v>0.68443506444989699</v>
      </c>
      <c r="L7">
        <v>1.4934826904101901</v>
      </c>
      <c r="O7" s="2">
        <f>_xlfn.PERCENTILE.INC(K3:K49, 0.9)</f>
        <v>1.41352893405492</v>
      </c>
      <c r="P7" s="2">
        <f>_xlfn.PERCENTILE.INC(L3:L49, 0.9)</f>
        <v>2.0143676362212779</v>
      </c>
      <c r="Q7" s="2">
        <f>_xlfn.PERCENTILE.INC(M3:M49, 0.9)</f>
        <v>3.3032685763383141</v>
      </c>
      <c r="R7" s="2">
        <f>_xlfn.PERCENTILE.INC(N3:N49, 0.9)</f>
        <v>4.4062657701027339</v>
      </c>
      <c r="S7" s="2">
        <f t="shared" si="1"/>
        <v>1.2580633677718236</v>
      </c>
      <c r="T7" s="2">
        <f t="shared" si="1"/>
        <v>1.7928194261191168</v>
      </c>
      <c r="U7" s="2">
        <f t="shared" si="1"/>
        <v>2.9399618852383211</v>
      </c>
      <c r="V7" s="2">
        <f t="shared" si="1"/>
        <v>3.9216470356437552</v>
      </c>
      <c r="W7" t="s">
        <v>145</v>
      </c>
    </row>
    <row r="8" spans="1:24" x14ac:dyDescent="0.2">
      <c r="A8" t="s">
        <v>37</v>
      </c>
      <c r="B8" t="s">
        <v>136</v>
      </c>
      <c r="C8">
        <v>2014</v>
      </c>
      <c r="D8">
        <v>2027</v>
      </c>
      <c r="G8" t="s">
        <v>38</v>
      </c>
      <c r="H8" t="s">
        <v>29</v>
      </c>
      <c r="K8">
        <v>0.44814990008318001</v>
      </c>
      <c r="L8">
        <v>0.91811225325973</v>
      </c>
    </row>
    <row r="9" spans="1:24" x14ac:dyDescent="0.2">
      <c r="A9" t="s">
        <v>203</v>
      </c>
      <c r="B9" t="s">
        <v>136</v>
      </c>
      <c r="C9">
        <v>2023</v>
      </c>
      <c r="D9">
        <v>2044</v>
      </c>
      <c r="G9" t="s">
        <v>22</v>
      </c>
      <c r="H9" t="s">
        <v>39</v>
      </c>
      <c r="K9">
        <v>0.95988160166868397</v>
      </c>
      <c r="L9">
        <v>1.9070619275280301</v>
      </c>
    </row>
    <row r="10" spans="1:24" x14ac:dyDescent="0.2">
      <c r="A10" t="s">
        <v>204</v>
      </c>
      <c r="B10" t="s">
        <v>136</v>
      </c>
      <c r="C10">
        <v>2022</v>
      </c>
      <c r="D10">
        <v>2038</v>
      </c>
      <c r="G10" t="s">
        <v>27</v>
      </c>
      <c r="H10" t="s">
        <v>16</v>
      </c>
      <c r="K10">
        <v>0.67654432549793397</v>
      </c>
      <c r="L10">
        <v>1.22094780806839</v>
      </c>
    </row>
    <row r="11" spans="1:24" x14ac:dyDescent="0.2">
      <c r="A11" t="s">
        <v>205</v>
      </c>
      <c r="B11" t="s">
        <v>136</v>
      </c>
      <c r="C11">
        <v>2029</v>
      </c>
      <c r="D11">
        <v>2041</v>
      </c>
      <c r="G11" t="s">
        <v>42</v>
      </c>
      <c r="H11" t="s">
        <v>43</v>
      </c>
      <c r="K11">
        <v>0.84025725577140498</v>
      </c>
      <c r="L11">
        <v>1.7052057166927399</v>
      </c>
    </row>
    <row r="12" spans="1:24" x14ac:dyDescent="0.2">
      <c r="A12" t="s">
        <v>206</v>
      </c>
      <c r="B12" t="s">
        <v>136</v>
      </c>
      <c r="C12">
        <v>2012</v>
      </c>
      <c r="D12">
        <v>2030</v>
      </c>
      <c r="E12">
        <v>2057</v>
      </c>
      <c r="F12">
        <v>2079</v>
      </c>
      <c r="G12" t="s">
        <v>13</v>
      </c>
      <c r="H12" t="s">
        <v>12</v>
      </c>
      <c r="I12" t="s">
        <v>40</v>
      </c>
      <c r="J12" t="s">
        <v>46</v>
      </c>
      <c r="K12">
        <v>0.22919159</v>
      </c>
      <c r="L12">
        <v>0.94501953999999999</v>
      </c>
      <c r="M12">
        <v>1.9597336000000001</v>
      </c>
      <c r="N12">
        <v>3.5099122999999999</v>
      </c>
    </row>
    <row r="13" spans="1:24" x14ac:dyDescent="0.2">
      <c r="A13" t="s">
        <v>47</v>
      </c>
      <c r="B13" t="s">
        <v>136</v>
      </c>
      <c r="C13">
        <v>2020</v>
      </c>
      <c r="D13">
        <v>2039</v>
      </c>
      <c r="G13" t="s">
        <v>48</v>
      </c>
      <c r="H13" t="s">
        <v>28</v>
      </c>
      <c r="K13">
        <v>0.48637999999999998</v>
      </c>
      <c r="L13">
        <v>0.99413149999999995</v>
      </c>
      <c r="X13" t="s">
        <v>141</v>
      </c>
    </row>
    <row r="14" spans="1:24" x14ac:dyDescent="0.2">
      <c r="A14" t="s">
        <v>207</v>
      </c>
      <c r="B14" t="s">
        <v>136</v>
      </c>
      <c r="C14">
        <v>2043</v>
      </c>
      <c r="G14" t="s">
        <v>20</v>
      </c>
      <c r="K14">
        <v>1.4470739576551801</v>
      </c>
      <c r="X14">
        <v>0.89001600000000003</v>
      </c>
    </row>
    <row r="15" spans="1:24" x14ac:dyDescent="0.2">
      <c r="A15" t="s">
        <v>51</v>
      </c>
      <c r="B15" t="s">
        <v>137</v>
      </c>
      <c r="C15">
        <v>2036</v>
      </c>
      <c r="D15">
        <v>2058</v>
      </c>
      <c r="G15" t="s">
        <v>52</v>
      </c>
      <c r="H15" t="s">
        <v>53</v>
      </c>
      <c r="K15">
        <v>1.24800717137679</v>
      </c>
      <c r="L15">
        <v>1.79025508687392</v>
      </c>
    </row>
    <row r="16" spans="1:24" x14ac:dyDescent="0.2">
      <c r="A16" t="s">
        <v>58</v>
      </c>
      <c r="B16" t="s">
        <v>137</v>
      </c>
      <c r="C16">
        <v>2020</v>
      </c>
      <c r="D16">
        <v>2034</v>
      </c>
      <c r="E16">
        <v>2063</v>
      </c>
      <c r="G16" t="s">
        <v>48</v>
      </c>
      <c r="H16" t="s">
        <v>59</v>
      </c>
      <c r="I16" t="s">
        <v>49</v>
      </c>
      <c r="K16">
        <v>0.65928880106152898</v>
      </c>
      <c r="L16">
        <v>1.27930423687614</v>
      </c>
      <c r="M16">
        <v>2.4659900553596299</v>
      </c>
      <c r="R16" s="2"/>
    </row>
    <row r="17" spans="1:14" x14ac:dyDescent="0.2">
      <c r="A17" t="s">
        <v>60</v>
      </c>
      <c r="B17" t="s">
        <v>137</v>
      </c>
      <c r="C17">
        <v>2031</v>
      </c>
      <c r="D17">
        <v>2049</v>
      </c>
      <c r="E17">
        <v>2085</v>
      </c>
      <c r="G17" t="s">
        <v>17</v>
      </c>
      <c r="H17" t="s">
        <v>61</v>
      </c>
      <c r="I17" t="s">
        <v>62</v>
      </c>
      <c r="K17">
        <v>0.79185877975170005</v>
      </c>
      <c r="L17">
        <v>0.94604524693873704</v>
      </c>
      <c r="M17">
        <v>1.9276448337221399</v>
      </c>
    </row>
    <row r="18" spans="1:14" x14ac:dyDescent="0.2">
      <c r="A18" t="s">
        <v>64</v>
      </c>
      <c r="B18" t="s">
        <v>137</v>
      </c>
      <c r="C18">
        <v>2014</v>
      </c>
      <c r="D18">
        <v>2025</v>
      </c>
      <c r="E18">
        <v>2050</v>
      </c>
      <c r="F18">
        <v>2084</v>
      </c>
      <c r="G18" t="s">
        <v>38</v>
      </c>
      <c r="H18" t="s">
        <v>11</v>
      </c>
      <c r="I18" t="s">
        <v>50</v>
      </c>
      <c r="J18" t="s">
        <v>65</v>
      </c>
      <c r="K18">
        <v>0.39986685293692897</v>
      </c>
      <c r="L18">
        <v>1.07768163327819</v>
      </c>
      <c r="M18">
        <v>2.4992855354591899</v>
      </c>
      <c r="N18">
        <v>3.4649832266348399</v>
      </c>
    </row>
    <row r="19" spans="1:14" x14ac:dyDescent="0.2">
      <c r="A19" t="s">
        <v>208</v>
      </c>
      <c r="B19" t="s">
        <v>137</v>
      </c>
      <c r="C19">
        <v>2023</v>
      </c>
      <c r="D19">
        <v>2045</v>
      </c>
      <c r="E19">
        <v>2086</v>
      </c>
      <c r="G19" t="s">
        <v>22</v>
      </c>
      <c r="H19" t="s">
        <v>63</v>
      </c>
      <c r="I19" t="s">
        <v>68</v>
      </c>
      <c r="K19">
        <v>0.94930597184294896</v>
      </c>
      <c r="L19">
        <v>1.9186587203060399</v>
      </c>
      <c r="M19">
        <v>2.4737583558019298</v>
      </c>
    </row>
    <row r="20" spans="1:14" x14ac:dyDescent="0.2">
      <c r="A20" t="s">
        <v>70</v>
      </c>
      <c r="B20" t="s">
        <v>137</v>
      </c>
      <c r="C20">
        <v>2032</v>
      </c>
      <c r="D20">
        <v>2050</v>
      </c>
      <c r="G20" t="s">
        <v>31</v>
      </c>
      <c r="H20" t="s">
        <v>50</v>
      </c>
      <c r="K20">
        <v>0.99720703714845305</v>
      </c>
      <c r="L20">
        <v>1.6772889300680101</v>
      </c>
    </row>
    <row r="21" spans="1:14" x14ac:dyDescent="0.2">
      <c r="A21" t="s">
        <v>71</v>
      </c>
      <c r="B21" t="s">
        <v>137</v>
      </c>
      <c r="C21">
        <v>2032</v>
      </c>
      <c r="D21">
        <v>2050</v>
      </c>
      <c r="G21" t="s">
        <v>31</v>
      </c>
      <c r="H21" t="s">
        <v>50</v>
      </c>
      <c r="K21">
        <v>0.98323817518911405</v>
      </c>
      <c r="L21">
        <v>1.65557634817044</v>
      </c>
    </row>
    <row r="22" spans="1:14" x14ac:dyDescent="0.2">
      <c r="A22" t="s">
        <v>209</v>
      </c>
      <c r="B22" t="s">
        <v>137</v>
      </c>
      <c r="C22">
        <v>2020</v>
      </c>
      <c r="D22">
        <v>2034</v>
      </c>
      <c r="E22">
        <v>2062</v>
      </c>
      <c r="G22" t="s">
        <v>48</v>
      </c>
      <c r="H22" t="s">
        <v>59</v>
      </c>
      <c r="I22" t="s">
        <v>196</v>
      </c>
      <c r="K22">
        <v>1.0303568047148599</v>
      </c>
      <c r="L22">
        <v>1.51613320500004</v>
      </c>
      <c r="M22">
        <v>2.6473017385885602</v>
      </c>
    </row>
    <row r="23" spans="1:14" x14ac:dyDescent="0.2">
      <c r="A23" t="s">
        <v>75</v>
      </c>
      <c r="B23" t="s">
        <v>137</v>
      </c>
      <c r="C23">
        <v>2019</v>
      </c>
      <c r="D23">
        <v>2034</v>
      </c>
      <c r="E23">
        <v>2066</v>
      </c>
      <c r="G23" t="s">
        <v>15</v>
      </c>
      <c r="H23" t="s">
        <v>59</v>
      </c>
      <c r="I23" t="s">
        <v>57</v>
      </c>
      <c r="K23">
        <v>0.52504269999999997</v>
      </c>
      <c r="L23">
        <v>1.4451324999999999</v>
      </c>
      <c r="M23">
        <v>2.7629134999999998</v>
      </c>
    </row>
    <row r="24" spans="1:14" x14ac:dyDescent="0.2">
      <c r="A24" t="s">
        <v>210</v>
      </c>
      <c r="B24" t="s">
        <v>137</v>
      </c>
      <c r="C24">
        <v>2037</v>
      </c>
      <c r="D24">
        <v>2058</v>
      </c>
      <c r="G24" t="s">
        <v>45</v>
      </c>
      <c r="H24" t="s">
        <v>53</v>
      </c>
      <c r="K24">
        <v>1.1631742689344899</v>
      </c>
      <c r="L24">
        <v>1.61900668674048</v>
      </c>
    </row>
    <row r="25" spans="1:14" x14ac:dyDescent="0.2">
      <c r="A25" t="s">
        <v>76</v>
      </c>
      <c r="B25" t="s">
        <v>137</v>
      </c>
      <c r="C25">
        <v>2056</v>
      </c>
      <c r="D25">
        <v>2086</v>
      </c>
      <c r="G25" t="s">
        <v>54</v>
      </c>
      <c r="H25" t="s">
        <v>68</v>
      </c>
      <c r="K25">
        <v>1.6532092765525299</v>
      </c>
      <c r="L25">
        <v>2.1603128362584698</v>
      </c>
    </row>
    <row r="26" spans="1:14" x14ac:dyDescent="0.2">
      <c r="A26" t="s">
        <v>77</v>
      </c>
      <c r="B26" t="s">
        <v>137</v>
      </c>
      <c r="C26">
        <v>2047</v>
      </c>
      <c r="D26">
        <v>2079</v>
      </c>
      <c r="G26" t="s">
        <v>72</v>
      </c>
      <c r="H26" t="s">
        <v>46</v>
      </c>
      <c r="K26">
        <v>1.4766804064679699</v>
      </c>
      <c r="L26">
        <v>1.9302608195684401</v>
      </c>
    </row>
    <row r="27" spans="1:14" x14ac:dyDescent="0.2">
      <c r="A27" t="s">
        <v>80</v>
      </c>
      <c r="B27" t="s">
        <v>138</v>
      </c>
      <c r="C27">
        <v>2033</v>
      </c>
      <c r="D27">
        <v>2047</v>
      </c>
      <c r="E27">
        <v>2075</v>
      </c>
      <c r="G27" t="s">
        <v>69</v>
      </c>
      <c r="H27" t="s">
        <v>72</v>
      </c>
      <c r="I27" t="s">
        <v>81</v>
      </c>
      <c r="K27">
        <v>0.99175239911429003</v>
      </c>
      <c r="L27">
        <v>2.0308371339899698</v>
      </c>
      <c r="M27">
        <v>3.1576496725510599</v>
      </c>
    </row>
    <row r="28" spans="1:14" x14ac:dyDescent="0.2">
      <c r="A28" t="s">
        <v>83</v>
      </c>
      <c r="B28" t="s">
        <v>138</v>
      </c>
      <c r="C28">
        <v>2020</v>
      </c>
      <c r="D28">
        <v>2033</v>
      </c>
      <c r="E28">
        <v>2058</v>
      </c>
      <c r="F28">
        <v>2077</v>
      </c>
      <c r="G28" t="s">
        <v>48</v>
      </c>
      <c r="H28" t="s">
        <v>69</v>
      </c>
      <c r="I28" t="s">
        <v>53</v>
      </c>
      <c r="J28" t="s">
        <v>84</v>
      </c>
      <c r="K28">
        <v>0.38601529090168102</v>
      </c>
      <c r="L28">
        <v>1.1765928095117699</v>
      </c>
      <c r="M28">
        <v>2.0447804772332998</v>
      </c>
      <c r="N28">
        <v>3.34699536413342</v>
      </c>
    </row>
    <row r="29" spans="1:14" x14ac:dyDescent="0.2">
      <c r="A29" t="s">
        <v>85</v>
      </c>
      <c r="B29" t="s">
        <v>138</v>
      </c>
      <c r="C29">
        <v>2033</v>
      </c>
      <c r="D29">
        <v>2046</v>
      </c>
      <c r="E29">
        <v>2067</v>
      </c>
      <c r="F29">
        <v>2084</v>
      </c>
      <c r="G29" t="s">
        <v>69</v>
      </c>
      <c r="H29" t="s">
        <v>44</v>
      </c>
      <c r="I29" t="s">
        <v>56</v>
      </c>
      <c r="J29" t="s">
        <v>65</v>
      </c>
      <c r="K29">
        <v>0.72322779682271798</v>
      </c>
      <c r="L29">
        <v>1.2460704672045699</v>
      </c>
      <c r="M29">
        <v>2.3489683580133098</v>
      </c>
      <c r="N29">
        <v>3.5346176677093801</v>
      </c>
    </row>
    <row r="30" spans="1:14" x14ac:dyDescent="0.2">
      <c r="A30" t="s">
        <v>86</v>
      </c>
      <c r="B30" t="s">
        <v>138</v>
      </c>
      <c r="C30">
        <v>2014</v>
      </c>
      <c r="D30">
        <v>2024</v>
      </c>
      <c r="E30">
        <v>2044</v>
      </c>
      <c r="F30">
        <v>2060</v>
      </c>
      <c r="G30" t="s">
        <v>38</v>
      </c>
      <c r="H30" t="s">
        <v>30</v>
      </c>
      <c r="I30" t="s">
        <v>39</v>
      </c>
      <c r="J30" t="s">
        <v>26</v>
      </c>
      <c r="K30">
        <v>0.37115174752692598</v>
      </c>
      <c r="L30">
        <v>1.11234708715366</v>
      </c>
      <c r="M30">
        <v>2.2924630200421401</v>
      </c>
      <c r="N30">
        <v>3.8095987673158902</v>
      </c>
    </row>
    <row r="31" spans="1:14" x14ac:dyDescent="0.2">
      <c r="A31" t="s">
        <v>211</v>
      </c>
      <c r="B31" t="s">
        <v>138</v>
      </c>
      <c r="C31">
        <v>2023</v>
      </c>
      <c r="D31">
        <v>2039</v>
      </c>
      <c r="E31">
        <v>2064</v>
      </c>
      <c r="F31">
        <v>2085</v>
      </c>
      <c r="G31" t="s">
        <v>22</v>
      </c>
      <c r="H31" t="s">
        <v>28</v>
      </c>
      <c r="I31" t="s">
        <v>212</v>
      </c>
      <c r="J31" t="s">
        <v>62</v>
      </c>
      <c r="K31">
        <v>1.12103330826484</v>
      </c>
      <c r="L31">
        <v>1.8721865885007201</v>
      </c>
      <c r="M31">
        <v>3.1559047580147599</v>
      </c>
      <c r="N31">
        <v>4.2247408769433896</v>
      </c>
    </row>
    <row r="32" spans="1:14" x14ac:dyDescent="0.2">
      <c r="A32" t="s">
        <v>213</v>
      </c>
      <c r="B32" t="s">
        <v>138</v>
      </c>
      <c r="C32">
        <v>2012</v>
      </c>
      <c r="D32">
        <v>2031</v>
      </c>
      <c r="E32">
        <v>2059</v>
      </c>
      <c r="F32">
        <v>2080</v>
      </c>
      <c r="G32" t="s">
        <v>13</v>
      </c>
      <c r="H32" t="s">
        <v>17</v>
      </c>
      <c r="I32" t="s">
        <v>88</v>
      </c>
      <c r="J32" t="s">
        <v>89</v>
      </c>
      <c r="K32">
        <v>0.27766570000000002</v>
      </c>
      <c r="L32">
        <v>0.94915620000000001</v>
      </c>
      <c r="M32">
        <v>1.9968735</v>
      </c>
      <c r="N32">
        <v>3.2638579999999999</v>
      </c>
    </row>
    <row r="33" spans="1:14" x14ac:dyDescent="0.2">
      <c r="A33" t="s">
        <v>90</v>
      </c>
      <c r="B33" t="s">
        <v>138</v>
      </c>
      <c r="C33">
        <v>2020</v>
      </c>
      <c r="D33">
        <v>2035</v>
      </c>
      <c r="E33">
        <v>2056</v>
      </c>
      <c r="F33">
        <v>2077</v>
      </c>
      <c r="G33" t="s">
        <v>48</v>
      </c>
      <c r="H33" t="s">
        <v>41</v>
      </c>
      <c r="I33" t="s">
        <v>54</v>
      </c>
      <c r="J33" t="s">
        <v>84</v>
      </c>
      <c r="K33">
        <v>0.72077789999999997</v>
      </c>
      <c r="L33">
        <v>1.3950653</v>
      </c>
      <c r="M33">
        <v>2.3296342000000001</v>
      </c>
      <c r="N33">
        <v>3.4568650000000001</v>
      </c>
    </row>
    <row r="34" spans="1:14" x14ac:dyDescent="0.2">
      <c r="A34" t="s">
        <v>214</v>
      </c>
      <c r="B34" t="s">
        <v>138</v>
      </c>
      <c r="C34">
        <v>2036</v>
      </c>
      <c r="D34">
        <v>2053</v>
      </c>
      <c r="E34">
        <v>2079</v>
      </c>
      <c r="G34" t="s">
        <v>52</v>
      </c>
      <c r="H34" t="s">
        <v>215</v>
      </c>
      <c r="I34" t="s">
        <v>46</v>
      </c>
      <c r="K34">
        <v>1.03263401455353</v>
      </c>
      <c r="L34">
        <v>1.7833052741157001</v>
      </c>
      <c r="M34">
        <v>3.0094896104601001</v>
      </c>
    </row>
    <row r="35" spans="1:14" x14ac:dyDescent="0.2">
      <c r="A35" t="s">
        <v>92</v>
      </c>
      <c r="B35" t="s">
        <v>138</v>
      </c>
      <c r="C35">
        <v>2052</v>
      </c>
      <c r="D35">
        <v>2070</v>
      </c>
      <c r="G35" t="s">
        <v>87</v>
      </c>
      <c r="H35" t="s">
        <v>79</v>
      </c>
      <c r="K35">
        <v>1.47873513963486</v>
      </c>
      <c r="L35">
        <v>2.1390993330213699</v>
      </c>
    </row>
    <row r="36" spans="1:14" x14ac:dyDescent="0.2">
      <c r="A36" t="s">
        <v>93</v>
      </c>
      <c r="B36" t="s">
        <v>138</v>
      </c>
      <c r="C36">
        <v>2047</v>
      </c>
      <c r="D36">
        <v>2063</v>
      </c>
      <c r="E36">
        <v>2091</v>
      </c>
      <c r="G36" t="s">
        <v>72</v>
      </c>
      <c r="H36" t="s">
        <v>49</v>
      </c>
      <c r="I36" t="s">
        <v>66</v>
      </c>
      <c r="K36">
        <v>1.3241218433558199</v>
      </c>
      <c r="L36">
        <v>2.21944365083219</v>
      </c>
      <c r="M36">
        <v>3.6687247613706999</v>
      </c>
    </row>
    <row r="37" spans="1:14" x14ac:dyDescent="0.2">
      <c r="A37" t="s">
        <v>94</v>
      </c>
      <c r="B37" t="s">
        <v>139</v>
      </c>
      <c r="C37">
        <v>2031</v>
      </c>
      <c r="D37">
        <v>2044</v>
      </c>
      <c r="E37">
        <v>2066</v>
      </c>
      <c r="G37" t="s">
        <v>17</v>
      </c>
      <c r="H37" t="s">
        <v>39</v>
      </c>
      <c r="I37" t="s">
        <v>57</v>
      </c>
      <c r="K37">
        <v>1.10620723221233</v>
      </c>
      <c r="L37">
        <v>1.9836362436988699</v>
      </c>
      <c r="M37">
        <v>3.30951525175441</v>
      </c>
    </row>
    <row r="38" spans="1:14" x14ac:dyDescent="0.2">
      <c r="A38" t="s">
        <v>96</v>
      </c>
      <c r="B38" t="s">
        <v>139</v>
      </c>
      <c r="C38">
        <v>2019</v>
      </c>
      <c r="D38">
        <v>2030</v>
      </c>
      <c r="E38">
        <v>2052</v>
      </c>
      <c r="F38">
        <v>2067</v>
      </c>
      <c r="G38" t="s">
        <v>15</v>
      </c>
      <c r="H38" t="s">
        <v>12</v>
      </c>
      <c r="I38" t="s">
        <v>87</v>
      </c>
      <c r="J38" t="s">
        <v>56</v>
      </c>
      <c r="K38">
        <v>0.70134988166900303</v>
      </c>
      <c r="L38">
        <v>0.998950885644035</v>
      </c>
      <c r="M38">
        <v>2.7606360962669898</v>
      </c>
      <c r="N38">
        <v>3.5059260879304599</v>
      </c>
    </row>
    <row r="39" spans="1:14" x14ac:dyDescent="0.2">
      <c r="A39" t="s">
        <v>97</v>
      </c>
      <c r="B39" t="s">
        <v>139</v>
      </c>
      <c r="C39">
        <v>2029</v>
      </c>
      <c r="D39">
        <v>2041</v>
      </c>
      <c r="E39">
        <v>2059</v>
      </c>
      <c r="F39">
        <v>2073</v>
      </c>
      <c r="G39" t="s">
        <v>42</v>
      </c>
      <c r="H39" t="s">
        <v>43</v>
      </c>
      <c r="I39" t="s">
        <v>88</v>
      </c>
      <c r="J39" t="s">
        <v>74</v>
      </c>
      <c r="K39">
        <v>0.96419402225133399</v>
      </c>
      <c r="L39">
        <v>1.3750644292338701</v>
      </c>
      <c r="M39">
        <v>2.56942141305246</v>
      </c>
      <c r="N39">
        <v>3.6274086208958898</v>
      </c>
    </row>
    <row r="40" spans="1:14" x14ac:dyDescent="0.2">
      <c r="A40" t="s">
        <v>98</v>
      </c>
      <c r="B40" t="s">
        <v>139</v>
      </c>
      <c r="C40">
        <v>2013</v>
      </c>
      <c r="D40">
        <v>2023</v>
      </c>
      <c r="E40">
        <v>2041</v>
      </c>
      <c r="F40">
        <v>2055</v>
      </c>
      <c r="G40" t="s">
        <v>10</v>
      </c>
      <c r="H40" t="s">
        <v>22</v>
      </c>
      <c r="I40" t="s">
        <v>43</v>
      </c>
      <c r="J40" t="s">
        <v>73</v>
      </c>
      <c r="K40">
        <v>0.40323407208475398</v>
      </c>
      <c r="L40">
        <v>0.99704027529113504</v>
      </c>
      <c r="M40">
        <v>2.3371529190628499</v>
      </c>
      <c r="N40">
        <v>3.47663613778573</v>
      </c>
    </row>
    <row r="41" spans="1:14" x14ac:dyDescent="0.2">
      <c r="A41" t="s">
        <v>216</v>
      </c>
      <c r="B41" t="s">
        <v>139</v>
      </c>
      <c r="C41">
        <v>2025</v>
      </c>
      <c r="D41">
        <v>2036</v>
      </c>
      <c r="E41">
        <v>2058</v>
      </c>
      <c r="F41">
        <v>2074</v>
      </c>
      <c r="G41" t="s">
        <v>11</v>
      </c>
      <c r="H41" t="s">
        <v>52</v>
      </c>
      <c r="I41" t="s">
        <v>53</v>
      </c>
      <c r="J41" t="s">
        <v>21</v>
      </c>
      <c r="K41">
        <v>1.22589725809122</v>
      </c>
      <c r="L41">
        <v>1.9896633895682401</v>
      </c>
      <c r="M41">
        <v>3.1859601432453899</v>
      </c>
      <c r="N41">
        <v>4.4512918120014202</v>
      </c>
    </row>
    <row r="42" spans="1:14" x14ac:dyDescent="0.2">
      <c r="A42" t="s">
        <v>99</v>
      </c>
      <c r="B42" t="s">
        <v>139</v>
      </c>
      <c r="C42">
        <v>2030</v>
      </c>
      <c r="D42">
        <v>2042</v>
      </c>
      <c r="E42">
        <v>2060</v>
      </c>
      <c r="F42">
        <v>2080</v>
      </c>
      <c r="G42" t="s">
        <v>12</v>
      </c>
      <c r="H42" t="s">
        <v>25</v>
      </c>
      <c r="I42" t="s">
        <v>26</v>
      </c>
      <c r="J42" t="s">
        <v>89</v>
      </c>
      <c r="K42">
        <v>1.14807129358736</v>
      </c>
      <c r="L42">
        <v>1.92835522339452</v>
      </c>
      <c r="M42">
        <v>3.00087035879264</v>
      </c>
      <c r="N42">
        <v>4.4327790092828199</v>
      </c>
    </row>
    <row r="43" spans="1:14" x14ac:dyDescent="0.2">
      <c r="A43" t="s">
        <v>100</v>
      </c>
      <c r="B43" t="s">
        <v>139</v>
      </c>
      <c r="C43">
        <v>2030</v>
      </c>
      <c r="D43">
        <v>2042</v>
      </c>
      <c r="E43">
        <v>2060</v>
      </c>
      <c r="F43">
        <v>2080</v>
      </c>
      <c r="G43" t="s">
        <v>12</v>
      </c>
      <c r="H43" t="s">
        <v>25</v>
      </c>
      <c r="I43" t="s">
        <v>26</v>
      </c>
      <c r="J43" t="s">
        <v>89</v>
      </c>
      <c r="K43">
        <v>1.1304126238699299</v>
      </c>
      <c r="L43">
        <v>1.9069431740552201</v>
      </c>
      <c r="M43">
        <v>2.9731055991778002</v>
      </c>
      <c r="N43">
        <v>4.3885902773160099</v>
      </c>
    </row>
    <row r="44" spans="1:14" x14ac:dyDescent="0.2">
      <c r="A44" t="s">
        <v>217</v>
      </c>
      <c r="B44" t="s">
        <v>139</v>
      </c>
      <c r="C44">
        <v>2021</v>
      </c>
      <c r="D44">
        <v>2031</v>
      </c>
      <c r="E44">
        <v>2048</v>
      </c>
      <c r="F44">
        <v>2064</v>
      </c>
      <c r="G44" t="s">
        <v>36</v>
      </c>
      <c r="H44" t="s">
        <v>17</v>
      </c>
      <c r="I44" t="s">
        <v>35</v>
      </c>
      <c r="J44" t="s">
        <v>212</v>
      </c>
      <c r="K44">
        <v>0.89503062277614998</v>
      </c>
      <c r="L44">
        <v>1.4438244101794899</v>
      </c>
      <c r="M44">
        <v>2.5547435427169698</v>
      </c>
      <c r="N44">
        <v>3.7748969526302001</v>
      </c>
    </row>
    <row r="45" spans="1:14" x14ac:dyDescent="0.2">
      <c r="A45" t="s">
        <v>218</v>
      </c>
      <c r="B45" t="s">
        <v>139</v>
      </c>
      <c r="C45">
        <v>2026</v>
      </c>
      <c r="D45">
        <v>2035</v>
      </c>
      <c r="E45">
        <v>2050</v>
      </c>
      <c r="F45">
        <v>2065</v>
      </c>
      <c r="G45" t="s">
        <v>219</v>
      </c>
      <c r="H45" t="s">
        <v>41</v>
      </c>
      <c r="I45" t="s">
        <v>50</v>
      </c>
      <c r="J45" t="s">
        <v>220</v>
      </c>
      <c r="K45">
        <v>1.06866230118783</v>
      </c>
      <c r="L45">
        <v>1.5759056509904801</v>
      </c>
      <c r="M45">
        <v>2.7276095714778599</v>
      </c>
      <c r="N45">
        <v>4.03220581000412</v>
      </c>
    </row>
    <row r="46" spans="1:14" x14ac:dyDescent="0.2">
      <c r="A46" t="s">
        <v>101</v>
      </c>
      <c r="B46" t="s">
        <v>139</v>
      </c>
      <c r="C46">
        <v>2019</v>
      </c>
      <c r="D46">
        <v>2035</v>
      </c>
      <c r="E46">
        <v>2051</v>
      </c>
      <c r="F46">
        <v>2067</v>
      </c>
      <c r="G46" t="s">
        <v>15</v>
      </c>
      <c r="H46" t="s">
        <v>41</v>
      </c>
      <c r="I46" t="s">
        <v>23</v>
      </c>
      <c r="J46" t="s">
        <v>56</v>
      </c>
      <c r="K46">
        <v>0.43056794999999998</v>
      </c>
      <c r="L46">
        <v>1.2029984</v>
      </c>
      <c r="M46">
        <v>2.6564833999999999</v>
      </c>
      <c r="N46">
        <v>4.1262420000000004</v>
      </c>
    </row>
    <row r="47" spans="1:14" x14ac:dyDescent="0.2">
      <c r="A47" t="s">
        <v>221</v>
      </c>
      <c r="B47" t="s">
        <v>139</v>
      </c>
      <c r="C47">
        <v>2035</v>
      </c>
      <c r="D47">
        <v>2049</v>
      </c>
      <c r="E47">
        <v>2072</v>
      </c>
      <c r="G47" t="s">
        <v>41</v>
      </c>
      <c r="H47" t="s">
        <v>61</v>
      </c>
      <c r="I47" t="s">
        <v>199</v>
      </c>
      <c r="K47">
        <v>1.0042349073621399</v>
      </c>
      <c r="L47">
        <v>1.2396501753064799</v>
      </c>
      <c r="M47">
        <v>2.8472741021049801</v>
      </c>
    </row>
    <row r="48" spans="1:14" x14ac:dyDescent="0.2">
      <c r="A48" t="s">
        <v>102</v>
      </c>
      <c r="B48" t="s">
        <v>139</v>
      </c>
      <c r="C48">
        <v>2043</v>
      </c>
      <c r="D48">
        <v>2057</v>
      </c>
      <c r="E48">
        <v>2078</v>
      </c>
      <c r="G48" t="s">
        <v>20</v>
      </c>
      <c r="H48" t="s">
        <v>40</v>
      </c>
      <c r="I48" t="s">
        <v>95</v>
      </c>
      <c r="K48">
        <v>1.39116558498808</v>
      </c>
      <c r="L48">
        <v>1.78786858452693</v>
      </c>
      <c r="M48">
        <v>3.3017069074842902</v>
      </c>
    </row>
    <row r="49" spans="1:13" x14ac:dyDescent="0.2">
      <c r="A49" t="s">
        <v>103</v>
      </c>
      <c r="B49" t="s">
        <v>139</v>
      </c>
      <c r="C49">
        <v>2040</v>
      </c>
      <c r="D49">
        <v>2055</v>
      </c>
      <c r="E49">
        <v>2077</v>
      </c>
      <c r="G49" t="s">
        <v>18</v>
      </c>
      <c r="H49" t="s">
        <v>73</v>
      </c>
      <c r="I49" t="s">
        <v>84</v>
      </c>
      <c r="K49">
        <v>1.4563077935103701</v>
      </c>
      <c r="L49">
        <v>2.0562198799908602</v>
      </c>
      <c r="M49">
        <v>3.3375443506061302</v>
      </c>
    </row>
  </sheetData>
  <sortState xmlns:xlrd2="http://schemas.microsoft.com/office/spreadsheetml/2017/richdata2" ref="A3:N37">
    <sortCondition ref="B3:B37"/>
    <sortCondition ref="A3:A37"/>
  </sortState>
  <mergeCells count="5">
    <mergeCell ref="S1:V1"/>
    <mergeCell ref="C1:F1"/>
    <mergeCell ref="G1:J1"/>
    <mergeCell ref="K1:N1"/>
    <mergeCell ref="O1:R1"/>
  </mergeCells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9E52-8967-0B40-B1A4-75021F4FF2E3}">
  <dimension ref="A1:P38"/>
  <sheetViews>
    <sheetView workbookViewId="0">
      <selection activeCell="G46" sqref="G46"/>
    </sheetView>
  </sheetViews>
  <sheetFormatPr baseColWidth="10" defaultRowHeight="16" x14ac:dyDescent="0.2"/>
  <cols>
    <col min="1" max="1" width="39.6640625" bestFit="1" customWidth="1"/>
    <col min="2" max="2" width="5.6640625" bestFit="1" customWidth="1"/>
  </cols>
  <sheetData>
    <row r="1" spans="1:14" x14ac:dyDescent="0.2">
      <c r="A1" s="1" t="s">
        <v>0</v>
      </c>
      <c r="B1" s="1"/>
      <c r="C1" s="24" t="s">
        <v>1</v>
      </c>
      <c r="D1" s="24"/>
      <c r="E1" s="24"/>
      <c r="F1" s="24"/>
      <c r="G1" s="24" t="s">
        <v>2</v>
      </c>
      <c r="H1" s="24"/>
      <c r="I1" s="24"/>
      <c r="J1" s="24"/>
      <c r="K1" s="24" t="s">
        <v>104</v>
      </c>
      <c r="L1" s="24"/>
      <c r="M1" s="24"/>
      <c r="N1" s="24"/>
    </row>
    <row r="2" spans="1:14" x14ac:dyDescent="0.2">
      <c r="A2" s="1" t="s">
        <v>106</v>
      </c>
      <c r="B2" s="1" t="s">
        <v>130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">
      <c r="A3" t="s">
        <v>107</v>
      </c>
      <c r="B3" t="s">
        <v>131</v>
      </c>
      <c r="C3">
        <v>2044</v>
      </c>
      <c r="G3" t="s">
        <v>39</v>
      </c>
      <c r="K3">
        <v>0.83663283039253999</v>
      </c>
    </row>
    <row r="4" spans="1:14" x14ac:dyDescent="0.2">
      <c r="A4" t="s">
        <v>108</v>
      </c>
      <c r="B4" t="s">
        <v>131</v>
      </c>
      <c r="C4">
        <v>2014</v>
      </c>
      <c r="D4">
        <v>2034</v>
      </c>
      <c r="G4" t="s">
        <v>38</v>
      </c>
      <c r="H4" t="s">
        <v>59</v>
      </c>
      <c r="K4">
        <v>0.31774715847441198</v>
      </c>
      <c r="L4">
        <v>0.96672905815973698</v>
      </c>
    </row>
    <row r="5" spans="1:14" x14ac:dyDescent="0.2">
      <c r="A5" t="s">
        <v>183</v>
      </c>
      <c r="B5" t="s">
        <v>131</v>
      </c>
      <c r="C5">
        <v>2024</v>
      </c>
      <c r="G5" t="s">
        <v>30</v>
      </c>
      <c r="K5">
        <v>0.15918416752297701</v>
      </c>
    </row>
    <row r="6" spans="1:14" x14ac:dyDescent="0.2">
      <c r="A6" t="s">
        <v>184</v>
      </c>
      <c r="B6" t="s">
        <v>131</v>
      </c>
      <c r="C6">
        <v>2024</v>
      </c>
      <c r="G6" t="s">
        <v>30</v>
      </c>
      <c r="K6">
        <v>1.3653254416148299</v>
      </c>
      <c r="N6" s="3"/>
    </row>
    <row r="7" spans="1:14" x14ac:dyDescent="0.2">
      <c r="A7" t="s">
        <v>109</v>
      </c>
      <c r="B7" t="s">
        <v>131</v>
      </c>
      <c r="C7">
        <v>2011</v>
      </c>
      <c r="D7">
        <v>2032</v>
      </c>
      <c r="G7" t="s">
        <v>67</v>
      </c>
      <c r="H7" t="s">
        <v>31</v>
      </c>
      <c r="K7">
        <v>0.36656778123640099</v>
      </c>
      <c r="L7">
        <v>0.89545909033877502</v>
      </c>
    </row>
    <row r="8" spans="1:14" x14ac:dyDescent="0.2">
      <c r="A8" t="s">
        <v>110</v>
      </c>
      <c r="B8" t="s">
        <v>131</v>
      </c>
      <c r="C8">
        <v>2016</v>
      </c>
      <c r="D8">
        <v>2047</v>
      </c>
      <c r="G8" t="s">
        <v>111</v>
      </c>
      <c r="H8" t="s">
        <v>72</v>
      </c>
      <c r="K8">
        <v>0.387773928972933</v>
      </c>
      <c r="L8">
        <v>0.89021165758271004</v>
      </c>
    </row>
    <row r="9" spans="1:14" x14ac:dyDescent="0.2">
      <c r="A9" t="s">
        <v>185</v>
      </c>
      <c r="B9" t="s">
        <v>131</v>
      </c>
      <c r="C9">
        <v>2023</v>
      </c>
      <c r="G9" t="s">
        <v>22</v>
      </c>
      <c r="K9">
        <v>0.56211865743001899</v>
      </c>
    </row>
    <row r="10" spans="1:14" x14ac:dyDescent="0.2">
      <c r="A10" t="s">
        <v>186</v>
      </c>
      <c r="B10" t="s">
        <v>131</v>
      </c>
      <c r="C10">
        <v>2017</v>
      </c>
      <c r="G10" t="s">
        <v>187</v>
      </c>
      <c r="K10">
        <v>0.57081158955894795</v>
      </c>
    </row>
    <row r="11" spans="1:14" x14ac:dyDescent="0.2">
      <c r="A11" t="s">
        <v>112</v>
      </c>
      <c r="B11" t="s">
        <v>131</v>
      </c>
      <c r="C11">
        <v>2085</v>
      </c>
      <c r="G11" t="s">
        <v>62</v>
      </c>
      <c r="K11">
        <v>1.41822244149666</v>
      </c>
    </row>
    <row r="12" spans="1:14" x14ac:dyDescent="0.2">
      <c r="A12" t="s">
        <v>113</v>
      </c>
      <c r="B12" t="s">
        <v>131</v>
      </c>
      <c r="C12">
        <v>2012</v>
      </c>
      <c r="D12">
        <v>2044</v>
      </c>
      <c r="G12" t="s">
        <v>13</v>
      </c>
      <c r="H12" t="s">
        <v>39</v>
      </c>
      <c r="K12">
        <v>0.24525560358096299</v>
      </c>
      <c r="L12">
        <v>0.87075942812776297</v>
      </c>
    </row>
    <row r="13" spans="1:14" x14ac:dyDescent="0.2">
      <c r="A13" t="s">
        <v>114</v>
      </c>
      <c r="B13" t="s">
        <v>131</v>
      </c>
      <c r="C13">
        <v>2023</v>
      </c>
      <c r="G13" t="s">
        <v>22</v>
      </c>
      <c r="K13">
        <v>0.46622947410301602</v>
      </c>
    </row>
    <row r="14" spans="1:14" x14ac:dyDescent="0.2">
      <c r="A14" t="s">
        <v>115</v>
      </c>
      <c r="B14" t="s">
        <v>133</v>
      </c>
      <c r="C14">
        <v>2038</v>
      </c>
      <c r="D14">
        <v>2059</v>
      </c>
      <c r="G14" t="s">
        <v>16</v>
      </c>
      <c r="H14" t="s">
        <v>88</v>
      </c>
      <c r="K14">
        <v>0.63252829487877804</v>
      </c>
      <c r="L14">
        <v>1.610914836536</v>
      </c>
    </row>
    <row r="15" spans="1:14" x14ac:dyDescent="0.2">
      <c r="A15" t="s">
        <v>116</v>
      </c>
      <c r="B15" t="s">
        <v>133</v>
      </c>
      <c r="C15">
        <v>2018</v>
      </c>
      <c r="D15">
        <v>2032</v>
      </c>
      <c r="E15">
        <v>2076</v>
      </c>
      <c r="G15" t="s">
        <v>33</v>
      </c>
      <c r="H15" t="s">
        <v>31</v>
      </c>
      <c r="I15" t="s">
        <v>55</v>
      </c>
      <c r="K15">
        <v>0.41300838611745899</v>
      </c>
      <c r="L15">
        <v>0.81726423192909303</v>
      </c>
      <c r="M15">
        <v>1.8179915675410701</v>
      </c>
    </row>
    <row r="16" spans="1:14" x14ac:dyDescent="0.2">
      <c r="A16" t="s">
        <v>188</v>
      </c>
      <c r="B16" t="s">
        <v>133</v>
      </c>
      <c r="C16">
        <v>2023</v>
      </c>
      <c r="D16">
        <v>2045</v>
      </c>
      <c r="G16" t="s">
        <v>22</v>
      </c>
      <c r="H16" t="s">
        <v>63</v>
      </c>
      <c r="K16">
        <v>0.37880875913762102</v>
      </c>
      <c r="L16">
        <v>0.86234560615966405</v>
      </c>
    </row>
    <row r="17" spans="1:16" x14ac:dyDescent="0.2">
      <c r="A17" t="s">
        <v>189</v>
      </c>
      <c r="B17" t="s">
        <v>133</v>
      </c>
      <c r="C17">
        <v>2023</v>
      </c>
      <c r="D17">
        <v>2045</v>
      </c>
      <c r="G17" t="s">
        <v>22</v>
      </c>
      <c r="H17" t="s">
        <v>63</v>
      </c>
      <c r="K17">
        <v>0.457424211517724</v>
      </c>
      <c r="L17">
        <v>0.62479549838627901</v>
      </c>
    </row>
    <row r="18" spans="1:16" x14ac:dyDescent="0.2">
      <c r="A18" t="s">
        <v>190</v>
      </c>
      <c r="B18" t="s">
        <v>133</v>
      </c>
      <c r="C18">
        <v>2029</v>
      </c>
      <c r="D18">
        <v>2044</v>
      </c>
      <c r="E18">
        <v>2079</v>
      </c>
      <c r="G18" t="s">
        <v>42</v>
      </c>
      <c r="H18" t="s">
        <v>39</v>
      </c>
      <c r="I18" t="s">
        <v>46</v>
      </c>
      <c r="K18">
        <v>1.28844432176343</v>
      </c>
      <c r="L18">
        <v>1.99852194768752</v>
      </c>
      <c r="M18">
        <v>2.8577991666382299</v>
      </c>
    </row>
    <row r="19" spans="1:16" x14ac:dyDescent="0.2">
      <c r="A19" t="s">
        <v>117</v>
      </c>
      <c r="B19" s="4" t="s">
        <v>133</v>
      </c>
      <c r="C19">
        <v>2014</v>
      </c>
      <c r="D19">
        <v>2031</v>
      </c>
      <c r="E19">
        <v>2070</v>
      </c>
      <c r="G19" t="s">
        <v>38</v>
      </c>
      <c r="H19" t="s">
        <v>17</v>
      </c>
      <c r="I19" t="s">
        <v>79</v>
      </c>
      <c r="K19">
        <v>0.26854250166147098</v>
      </c>
      <c r="L19">
        <v>0.80277699364550803</v>
      </c>
      <c r="M19">
        <v>1.9388497246635801</v>
      </c>
    </row>
    <row r="20" spans="1:16" x14ac:dyDescent="0.2">
      <c r="A20" t="s">
        <v>191</v>
      </c>
      <c r="B20" s="4" t="s">
        <v>133</v>
      </c>
      <c r="C20">
        <v>2017</v>
      </c>
      <c r="D20">
        <v>2034</v>
      </c>
      <c r="E20">
        <v>2078</v>
      </c>
      <c r="G20" t="s">
        <v>187</v>
      </c>
      <c r="H20" t="s">
        <v>59</v>
      </c>
      <c r="I20" t="s">
        <v>95</v>
      </c>
      <c r="K20">
        <v>0.36612952992296299</v>
      </c>
      <c r="L20">
        <v>0.83404442313203897</v>
      </c>
      <c r="M20">
        <v>2.1307141433336501</v>
      </c>
    </row>
    <row r="21" spans="1:16" x14ac:dyDescent="0.2">
      <c r="A21" t="s">
        <v>192</v>
      </c>
      <c r="B21" t="s">
        <v>133</v>
      </c>
      <c r="C21">
        <v>2023</v>
      </c>
      <c r="D21">
        <v>2045</v>
      </c>
      <c r="G21" t="s">
        <v>22</v>
      </c>
      <c r="H21" t="s">
        <v>63</v>
      </c>
      <c r="K21">
        <v>0.27052468193900803</v>
      </c>
      <c r="L21">
        <v>0.99868554009331101</v>
      </c>
    </row>
    <row r="22" spans="1:16" x14ac:dyDescent="0.2">
      <c r="A22" t="s">
        <v>118</v>
      </c>
      <c r="B22" t="s">
        <v>133</v>
      </c>
      <c r="C22">
        <v>2042</v>
      </c>
      <c r="D22">
        <v>2068</v>
      </c>
      <c r="G22" t="s">
        <v>25</v>
      </c>
      <c r="H22" t="s">
        <v>8</v>
      </c>
      <c r="K22">
        <v>1.04776215729892</v>
      </c>
      <c r="L22">
        <v>1.4275242982087399</v>
      </c>
    </row>
    <row r="23" spans="1:16" x14ac:dyDescent="0.2">
      <c r="A23" t="s">
        <v>119</v>
      </c>
      <c r="B23" t="s">
        <v>133</v>
      </c>
      <c r="C23">
        <v>2040</v>
      </c>
      <c r="D23">
        <v>2074</v>
      </c>
      <c r="G23" t="s">
        <v>18</v>
      </c>
      <c r="H23" t="s">
        <v>21</v>
      </c>
      <c r="K23">
        <v>1.2713410977964501</v>
      </c>
      <c r="L23">
        <v>1.85172906098548</v>
      </c>
    </row>
    <row r="24" spans="1:16" x14ac:dyDescent="0.2">
      <c r="A24" t="s">
        <v>120</v>
      </c>
      <c r="B24" t="s">
        <v>133</v>
      </c>
      <c r="C24">
        <v>2012</v>
      </c>
      <c r="D24">
        <v>2035</v>
      </c>
      <c r="G24" t="s">
        <v>13</v>
      </c>
      <c r="H24" t="s">
        <v>41</v>
      </c>
      <c r="K24">
        <v>0.26356427112833902</v>
      </c>
      <c r="L24">
        <v>0.58958780640360797</v>
      </c>
    </row>
    <row r="25" spans="1:16" x14ac:dyDescent="0.2">
      <c r="A25" t="s">
        <v>121</v>
      </c>
      <c r="B25" t="s">
        <v>133</v>
      </c>
      <c r="C25">
        <v>2022</v>
      </c>
      <c r="D25">
        <v>2044</v>
      </c>
      <c r="G25" t="s">
        <v>27</v>
      </c>
      <c r="H25" t="s">
        <v>39</v>
      </c>
      <c r="K25">
        <v>0.24246749877933901</v>
      </c>
      <c r="L25">
        <v>1.0014052497016299</v>
      </c>
    </row>
    <row r="26" spans="1:16" x14ac:dyDescent="0.2">
      <c r="A26" t="s">
        <v>122</v>
      </c>
      <c r="B26" t="s">
        <v>132</v>
      </c>
      <c r="C26">
        <v>2031</v>
      </c>
      <c r="D26">
        <v>2046</v>
      </c>
      <c r="E26">
        <v>2068</v>
      </c>
      <c r="F26">
        <v>2088</v>
      </c>
      <c r="G26" t="s">
        <v>17</v>
      </c>
      <c r="H26" t="s">
        <v>44</v>
      </c>
      <c r="I26" t="s">
        <v>8</v>
      </c>
      <c r="J26" t="s">
        <v>82</v>
      </c>
      <c r="K26">
        <v>0.80631215971271497</v>
      </c>
      <c r="L26">
        <v>1.5717548309150999</v>
      </c>
      <c r="M26">
        <v>2.6047206391182098</v>
      </c>
      <c r="N26">
        <v>3.8460715047062499</v>
      </c>
    </row>
    <row r="27" spans="1:16" x14ac:dyDescent="0.2">
      <c r="A27" t="s">
        <v>123</v>
      </c>
      <c r="B27" t="s">
        <v>132</v>
      </c>
      <c r="C27">
        <v>2014</v>
      </c>
      <c r="D27">
        <v>2027</v>
      </c>
      <c r="E27">
        <v>2050</v>
      </c>
      <c r="F27">
        <v>2069</v>
      </c>
      <c r="G27" t="s">
        <v>38</v>
      </c>
      <c r="H27" t="s">
        <v>29</v>
      </c>
      <c r="I27" t="s">
        <v>50</v>
      </c>
      <c r="J27" t="s">
        <v>78</v>
      </c>
      <c r="K27">
        <v>0.29994389569320301</v>
      </c>
      <c r="L27">
        <v>0.73833098234956296</v>
      </c>
      <c r="M27">
        <v>1.8766875938133201</v>
      </c>
      <c r="N27">
        <v>3.2761420921043301</v>
      </c>
    </row>
    <row r="28" spans="1:16" x14ac:dyDescent="0.2">
      <c r="A28" t="s">
        <v>193</v>
      </c>
      <c r="B28" t="s">
        <v>132</v>
      </c>
      <c r="C28">
        <v>2019</v>
      </c>
      <c r="D28">
        <v>2035</v>
      </c>
      <c r="E28">
        <v>2061</v>
      </c>
      <c r="G28" t="s">
        <v>15</v>
      </c>
      <c r="H28" t="s">
        <v>41</v>
      </c>
      <c r="I28" t="s">
        <v>194</v>
      </c>
      <c r="K28">
        <v>0.32010671893003101</v>
      </c>
      <c r="L28">
        <v>0.94183442623305202</v>
      </c>
      <c r="M28">
        <v>1.93926760911421</v>
      </c>
    </row>
    <row r="29" spans="1:16" x14ac:dyDescent="0.2">
      <c r="A29" t="s">
        <v>195</v>
      </c>
      <c r="B29" t="s">
        <v>132</v>
      </c>
      <c r="C29">
        <v>2020</v>
      </c>
      <c r="D29">
        <v>2036</v>
      </c>
      <c r="E29">
        <v>2062</v>
      </c>
      <c r="F29">
        <v>2083</v>
      </c>
      <c r="G29" t="s">
        <v>48</v>
      </c>
      <c r="H29" t="s">
        <v>52</v>
      </c>
      <c r="I29" t="s">
        <v>196</v>
      </c>
      <c r="J29" t="s">
        <v>197</v>
      </c>
      <c r="K29">
        <v>0.33111575072592803</v>
      </c>
      <c r="L29">
        <v>0.90064316589890403</v>
      </c>
      <c r="M29">
        <v>1.5027791696181101</v>
      </c>
      <c r="N29">
        <v>2.9187363127111499</v>
      </c>
    </row>
    <row r="30" spans="1:16" x14ac:dyDescent="0.2">
      <c r="A30" t="s">
        <v>124</v>
      </c>
      <c r="B30" t="s">
        <v>132</v>
      </c>
      <c r="C30">
        <v>2023</v>
      </c>
      <c r="D30">
        <v>2035</v>
      </c>
      <c r="E30">
        <v>2055</v>
      </c>
      <c r="F30">
        <v>2071</v>
      </c>
      <c r="G30" t="s">
        <v>22</v>
      </c>
      <c r="H30" t="s">
        <v>41</v>
      </c>
      <c r="I30" t="s">
        <v>73</v>
      </c>
      <c r="J30" t="s">
        <v>91</v>
      </c>
      <c r="K30">
        <v>1.2547776910347199</v>
      </c>
      <c r="L30">
        <v>1.8814544179047701</v>
      </c>
      <c r="M30">
        <v>3.3167032989732199</v>
      </c>
      <c r="N30">
        <v>4.9136741564842401</v>
      </c>
      <c r="O30" s="3" t="s">
        <v>140</v>
      </c>
      <c r="P30" s="2">
        <v>4.9136741564842401</v>
      </c>
    </row>
    <row r="31" spans="1:16" x14ac:dyDescent="0.2">
      <c r="A31" t="s">
        <v>198</v>
      </c>
      <c r="B31" t="s">
        <v>132</v>
      </c>
      <c r="C31">
        <v>2024</v>
      </c>
      <c r="D31">
        <v>2036</v>
      </c>
      <c r="E31">
        <v>2055</v>
      </c>
      <c r="F31">
        <v>2072</v>
      </c>
      <c r="G31" t="s">
        <v>30</v>
      </c>
      <c r="H31" t="s">
        <v>52</v>
      </c>
      <c r="I31" t="s">
        <v>73</v>
      </c>
      <c r="J31" t="s">
        <v>199</v>
      </c>
      <c r="K31">
        <v>1.2518766969956201</v>
      </c>
      <c r="L31">
        <v>1.65339945881786</v>
      </c>
      <c r="M31">
        <v>2.85472428786268</v>
      </c>
      <c r="N31">
        <v>4.2617375100454602</v>
      </c>
    </row>
    <row r="32" spans="1:16" x14ac:dyDescent="0.2">
      <c r="A32" t="s">
        <v>125</v>
      </c>
      <c r="B32" t="s">
        <v>132</v>
      </c>
      <c r="C32">
        <v>2011</v>
      </c>
      <c r="D32">
        <v>2027</v>
      </c>
      <c r="E32">
        <v>2048</v>
      </c>
      <c r="F32">
        <v>2066</v>
      </c>
      <c r="G32" t="s">
        <v>67</v>
      </c>
      <c r="H32" t="s">
        <v>29</v>
      </c>
      <c r="I32" t="s">
        <v>35</v>
      </c>
      <c r="J32" t="s">
        <v>57</v>
      </c>
      <c r="K32">
        <v>0.27716342078308198</v>
      </c>
      <c r="L32">
        <v>0.97698444790303796</v>
      </c>
      <c r="M32">
        <v>2.1671324835882499</v>
      </c>
      <c r="N32">
        <v>3.4109224743312501</v>
      </c>
    </row>
    <row r="33" spans="1:14" x14ac:dyDescent="0.2">
      <c r="A33" t="s">
        <v>200</v>
      </c>
      <c r="B33" t="s">
        <v>132</v>
      </c>
      <c r="C33">
        <v>2016</v>
      </c>
      <c r="D33">
        <v>2031</v>
      </c>
      <c r="E33">
        <v>2051</v>
      </c>
      <c r="F33">
        <v>2067</v>
      </c>
      <c r="G33" t="s">
        <v>111</v>
      </c>
      <c r="H33" t="s">
        <v>17</v>
      </c>
      <c r="I33" t="s">
        <v>23</v>
      </c>
      <c r="J33" t="s">
        <v>56</v>
      </c>
      <c r="K33">
        <v>0.45625948782276199</v>
      </c>
      <c r="L33">
        <v>0.70197696001481202</v>
      </c>
      <c r="M33">
        <v>2.0070241649878402</v>
      </c>
      <c r="N33">
        <v>3.2069946275303298</v>
      </c>
    </row>
    <row r="34" spans="1:14" x14ac:dyDescent="0.2">
      <c r="A34" t="s">
        <v>201</v>
      </c>
      <c r="B34" t="s">
        <v>132</v>
      </c>
      <c r="C34">
        <v>2018</v>
      </c>
      <c r="D34">
        <v>2038</v>
      </c>
      <c r="E34">
        <v>2062</v>
      </c>
      <c r="F34">
        <v>2082</v>
      </c>
      <c r="G34" t="s">
        <v>33</v>
      </c>
      <c r="H34" t="s">
        <v>16</v>
      </c>
      <c r="I34" t="s">
        <v>196</v>
      </c>
      <c r="J34" t="s">
        <v>202</v>
      </c>
      <c r="K34">
        <v>0.28053309122718101</v>
      </c>
      <c r="L34">
        <v>0.89448763529455499</v>
      </c>
      <c r="M34">
        <v>2.13368631998694</v>
      </c>
      <c r="N34">
        <v>3.25464655558264</v>
      </c>
    </row>
    <row r="35" spans="1:14" x14ac:dyDescent="0.2">
      <c r="A35" t="s">
        <v>126</v>
      </c>
      <c r="B35" t="s">
        <v>132</v>
      </c>
      <c r="C35">
        <v>2034</v>
      </c>
      <c r="D35">
        <v>2048</v>
      </c>
      <c r="E35">
        <v>2070</v>
      </c>
      <c r="G35" t="s">
        <v>59</v>
      </c>
      <c r="H35" t="s">
        <v>35</v>
      </c>
      <c r="I35" t="s">
        <v>79</v>
      </c>
      <c r="K35">
        <v>0.69072337680391005</v>
      </c>
      <c r="L35">
        <v>1.39141197204587</v>
      </c>
      <c r="M35">
        <v>2.5225286695692</v>
      </c>
    </row>
    <row r="36" spans="1:14" x14ac:dyDescent="0.2">
      <c r="A36" t="s">
        <v>127</v>
      </c>
      <c r="B36" t="s">
        <v>132</v>
      </c>
      <c r="C36">
        <v>2033</v>
      </c>
      <c r="D36">
        <v>2050</v>
      </c>
      <c r="E36">
        <v>2074</v>
      </c>
      <c r="G36" t="s">
        <v>69</v>
      </c>
      <c r="H36" t="s">
        <v>50</v>
      </c>
      <c r="I36" t="s">
        <v>21</v>
      </c>
      <c r="K36">
        <v>0.78084819934989003</v>
      </c>
      <c r="L36">
        <v>1.1650189858895901</v>
      </c>
      <c r="M36">
        <v>2.51032525521738</v>
      </c>
    </row>
    <row r="37" spans="1:14" x14ac:dyDescent="0.2">
      <c r="A37" t="s">
        <v>128</v>
      </c>
      <c r="B37" t="s">
        <v>132</v>
      </c>
      <c r="C37">
        <v>2011</v>
      </c>
      <c r="D37">
        <v>2029</v>
      </c>
      <c r="E37">
        <v>2060</v>
      </c>
      <c r="F37">
        <v>2086</v>
      </c>
      <c r="G37" t="s">
        <v>67</v>
      </c>
      <c r="H37" t="s">
        <v>42</v>
      </c>
      <c r="I37" t="s">
        <v>26</v>
      </c>
      <c r="J37" t="s">
        <v>68</v>
      </c>
      <c r="K37">
        <v>0.19708605850399499</v>
      </c>
      <c r="L37">
        <v>0.85248630903591305</v>
      </c>
      <c r="M37">
        <v>2.72245074781776</v>
      </c>
      <c r="N37">
        <v>3.5750805834353399</v>
      </c>
    </row>
    <row r="38" spans="1:14" x14ac:dyDescent="0.2">
      <c r="A38" t="s">
        <v>129</v>
      </c>
      <c r="B38" t="s">
        <v>132</v>
      </c>
      <c r="C38">
        <v>2020</v>
      </c>
      <c r="D38">
        <v>2037</v>
      </c>
      <c r="E38">
        <v>2060</v>
      </c>
      <c r="F38">
        <v>2084</v>
      </c>
      <c r="G38" t="s">
        <v>48</v>
      </c>
      <c r="H38" t="s">
        <v>45</v>
      </c>
      <c r="I38" t="s">
        <v>26</v>
      </c>
      <c r="J38" t="s">
        <v>65</v>
      </c>
      <c r="K38">
        <v>0.25636699817790398</v>
      </c>
      <c r="L38">
        <v>1.4150692127368201</v>
      </c>
      <c r="M38">
        <v>2.2598840219002199</v>
      </c>
      <c r="N38">
        <v>3.8378899609600099</v>
      </c>
    </row>
  </sheetData>
  <sortState xmlns:xlrd2="http://schemas.microsoft.com/office/spreadsheetml/2017/richdata2" ref="A3:N24">
    <sortCondition ref="B3:B24"/>
    <sortCondition ref="A3:A24"/>
  </sortState>
  <mergeCells count="3">
    <mergeCell ref="C1:F1"/>
    <mergeCell ref="G1:J1"/>
    <mergeCell ref="K1:N1"/>
  </mergeCells>
  <phoneticPr fontId="2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C52E-CD69-334E-921C-30F2A861EB14}">
  <dimension ref="A1:U34"/>
  <sheetViews>
    <sheetView workbookViewId="0">
      <selection activeCell="I45" sqref="I45"/>
    </sheetView>
  </sheetViews>
  <sheetFormatPr baseColWidth="10" defaultRowHeight="16" x14ac:dyDescent="0.2"/>
  <cols>
    <col min="1" max="1" width="47.33203125" bestFit="1" customWidth="1"/>
    <col min="16" max="16" width="39.6640625" bestFit="1" customWidth="1"/>
    <col min="17" max="17" width="5.5" bestFit="1" customWidth="1"/>
  </cols>
  <sheetData>
    <row r="1" spans="1:21" x14ac:dyDescent="0.2">
      <c r="A1" s="1" t="s">
        <v>0</v>
      </c>
      <c r="B1" s="1"/>
      <c r="C1" s="25" t="s">
        <v>1</v>
      </c>
      <c r="D1" s="26"/>
      <c r="E1" s="26"/>
      <c r="F1" s="27"/>
      <c r="G1" s="25" t="s">
        <v>2</v>
      </c>
      <c r="H1" s="26"/>
      <c r="I1" s="26"/>
      <c r="J1" s="27"/>
      <c r="K1" s="25" t="s">
        <v>104</v>
      </c>
      <c r="L1" s="26"/>
      <c r="M1" s="26"/>
      <c r="N1" s="27"/>
      <c r="O1" s="1"/>
      <c r="P1" s="1"/>
      <c r="Q1" s="1"/>
      <c r="R1" s="1"/>
      <c r="S1" s="1"/>
      <c r="T1" s="1"/>
      <c r="U1" s="1"/>
    </row>
    <row r="2" spans="1:21" x14ac:dyDescent="0.2">
      <c r="A2" s="1" t="s">
        <v>3</v>
      </c>
      <c r="B2" s="1" t="s">
        <v>134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4</v>
      </c>
      <c r="L2" s="1" t="s">
        <v>5</v>
      </c>
      <c r="M2" s="1" t="s">
        <v>6</v>
      </c>
      <c r="N2" s="1" t="s">
        <v>7</v>
      </c>
      <c r="O2" s="1"/>
      <c r="P2" s="1"/>
      <c r="Q2" s="1"/>
      <c r="R2" s="1"/>
      <c r="S2" s="1"/>
      <c r="T2" s="1"/>
      <c r="U2" s="1"/>
    </row>
    <row r="3" spans="1:21" x14ac:dyDescent="0.2">
      <c r="A3" t="s">
        <v>24</v>
      </c>
      <c r="B3" t="s">
        <v>136</v>
      </c>
      <c r="C3">
        <v>2042</v>
      </c>
      <c r="G3" t="s">
        <v>25</v>
      </c>
      <c r="K3">
        <v>0.50765736677745898</v>
      </c>
    </row>
    <row r="4" spans="1:21" x14ac:dyDescent="0.2">
      <c r="A4" t="s">
        <v>51</v>
      </c>
      <c r="B4" t="s">
        <v>137</v>
      </c>
      <c r="C4">
        <v>2036</v>
      </c>
      <c r="D4">
        <v>2058</v>
      </c>
      <c r="G4" t="s">
        <v>52</v>
      </c>
      <c r="H4" t="s">
        <v>53</v>
      </c>
      <c r="K4">
        <v>1.24800717137679</v>
      </c>
      <c r="L4">
        <v>1.79025508687392</v>
      </c>
    </row>
    <row r="5" spans="1:21" x14ac:dyDescent="0.2">
      <c r="A5" t="s">
        <v>94</v>
      </c>
      <c r="B5" t="s">
        <v>139</v>
      </c>
      <c r="C5">
        <v>2031</v>
      </c>
      <c r="D5">
        <v>2044</v>
      </c>
      <c r="E5">
        <v>2066</v>
      </c>
      <c r="G5" t="s">
        <v>17</v>
      </c>
      <c r="H5" t="s">
        <v>39</v>
      </c>
      <c r="I5" t="s">
        <v>57</v>
      </c>
      <c r="K5">
        <v>1.10620723221233</v>
      </c>
      <c r="L5">
        <v>1.9836362436988699</v>
      </c>
      <c r="M5">
        <v>3.30951525175441</v>
      </c>
    </row>
    <row r="6" spans="1:21" x14ac:dyDescent="0.2">
      <c r="A6" t="s">
        <v>37</v>
      </c>
      <c r="B6" t="s">
        <v>136</v>
      </c>
      <c r="C6">
        <v>2014</v>
      </c>
      <c r="D6">
        <v>2027</v>
      </c>
      <c r="G6" t="s">
        <v>38</v>
      </c>
      <c r="H6" t="s">
        <v>29</v>
      </c>
      <c r="K6">
        <v>0.44814990008318001</v>
      </c>
      <c r="L6">
        <v>0.91811225325973</v>
      </c>
    </row>
    <row r="7" spans="1:21" x14ac:dyDescent="0.2">
      <c r="A7" t="s">
        <v>64</v>
      </c>
      <c r="B7" t="s">
        <v>137</v>
      </c>
      <c r="C7">
        <v>2014</v>
      </c>
      <c r="D7">
        <v>2025</v>
      </c>
      <c r="E7">
        <v>2050</v>
      </c>
      <c r="G7" t="s">
        <v>38</v>
      </c>
      <c r="H7" t="s">
        <v>11</v>
      </c>
      <c r="I7" t="s">
        <v>50</v>
      </c>
      <c r="J7" t="s">
        <v>65</v>
      </c>
      <c r="K7">
        <v>0.39986685293692897</v>
      </c>
      <c r="L7">
        <v>1.07768163327819</v>
      </c>
      <c r="M7">
        <v>2.4992855354591899</v>
      </c>
      <c r="N7">
        <v>3.4649832266348399</v>
      </c>
    </row>
    <row r="8" spans="1:21" x14ac:dyDescent="0.2">
      <c r="A8" t="s">
        <v>98</v>
      </c>
      <c r="B8" t="s">
        <v>139</v>
      </c>
      <c r="C8">
        <v>2013</v>
      </c>
      <c r="D8">
        <v>2023</v>
      </c>
      <c r="E8">
        <v>2041</v>
      </c>
      <c r="F8">
        <v>2055</v>
      </c>
      <c r="G8" t="s">
        <v>10</v>
      </c>
      <c r="H8" t="s">
        <v>22</v>
      </c>
      <c r="I8" t="s">
        <v>43</v>
      </c>
      <c r="J8" t="s">
        <v>73</v>
      </c>
      <c r="K8">
        <v>0.40323407208475398</v>
      </c>
      <c r="L8">
        <v>0.99704027529113504</v>
      </c>
      <c r="M8">
        <v>2.3371529190628499</v>
      </c>
      <c r="N8">
        <v>3.47663613778573</v>
      </c>
    </row>
    <row r="9" spans="1:21" x14ac:dyDescent="0.2">
      <c r="A9" t="s">
        <v>34</v>
      </c>
      <c r="B9" t="s">
        <v>136</v>
      </c>
      <c r="C9">
        <v>2028</v>
      </c>
      <c r="G9" t="s">
        <v>19</v>
      </c>
      <c r="H9" t="s">
        <v>26</v>
      </c>
      <c r="K9">
        <v>0.68443506444989699</v>
      </c>
      <c r="L9">
        <v>1.4934826904101901</v>
      </c>
    </row>
    <row r="10" spans="1:21" x14ac:dyDescent="0.2">
      <c r="A10" t="s">
        <v>60</v>
      </c>
      <c r="B10" t="s">
        <v>137</v>
      </c>
      <c r="C10">
        <v>2031</v>
      </c>
      <c r="D10">
        <v>2049</v>
      </c>
      <c r="G10" t="s">
        <v>17</v>
      </c>
      <c r="H10" t="s">
        <v>61</v>
      </c>
      <c r="I10" t="s">
        <v>62</v>
      </c>
      <c r="K10">
        <v>0.79185877975170005</v>
      </c>
      <c r="L10">
        <v>0.94604524693873704</v>
      </c>
      <c r="M10">
        <v>1.9276448337221399</v>
      </c>
    </row>
    <row r="11" spans="1:21" x14ac:dyDescent="0.2">
      <c r="A11" t="s">
        <v>97</v>
      </c>
      <c r="B11" t="s">
        <v>139</v>
      </c>
      <c r="C11">
        <v>2029</v>
      </c>
      <c r="D11">
        <v>2041</v>
      </c>
      <c r="E11">
        <v>2059</v>
      </c>
      <c r="F11">
        <v>2073</v>
      </c>
      <c r="G11" t="s">
        <v>42</v>
      </c>
      <c r="H11" t="s">
        <v>43</v>
      </c>
      <c r="I11" t="s">
        <v>88</v>
      </c>
      <c r="J11" t="s">
        <v>74</v>
      </c>
      <c r="K11">
        <v>0.96419402225133399</v>
      </c>
      <c r="L11">
        <v>1.3750644292338701</v>
      </c>
      <c r="M11">
        <v>2.56942141305246</v>
      </c>
      <c r="N11">
        <v>3.6274086208958898</v>
      </c>
    </row>
    <row r="12" spans="1:21" x14ac:dyDescent="0.2">
      <c r="A12" t="s">
        <v>32</v>
      </c>
      <c r="B12" t="s">
        <v>136</v>
      </c>
      <c r="C12">
        <v>2018</v>
      </c>
      <c r="G12" t="s">
        <v>33</v>
      </c>
      <c r="H12" t="s">
        <v>17</v>
      </c>
      <c r="K12">
        <v>0.71423186692603902</v>
      </c>
      <c r="L12">
        <v>0.94311847540844496</v>
      </c>
    </row>
    <row r="13" spans="1:21" x14ac:dyDescent="0.2">
      <c r="A13" t="s">
        <v>58</v>
      </c>
      <c r="B13" t="s">
        <v>137</v>
      </c>
      <c r="C13">
        <v>2020</v>
      </c>
      <c r="D13">
        <v>2034</v>
      </c>
      <c r="G13" t="s">
        <v>48</v>
      </c>
      <c r="H13" t="s">
        <v>59</v>
      </c>
      <c r="I13" t="s">
        <v>49</v>
      </c>
      <c r="K13">
        <v>0.65928880106152898</v>
      </c>
      <c r="L13">
        <v>1.27930423687614</v>
      </c>
      <c r="M13">
        <v>2.4659900553596299</v>
      </c>
    </row>
    <row r="14" spans="1:21" x14ac:dyDescent="0.2">
      <c r="A14" t="s">
        <v>96</v>
      </c>
      <c r="B14" t="s">
        <v>139</v>
      </c>
      <c r="C14">
        <v>2019</v>
      </c>
      <c r="D14">
        <v>2030</v>
      </c>
      <c r="E14">
        <v>2052</v>
      </c>
      <c r="F14">
        <v>2067</v>
      </c>
      <c r="G14" t="s">
        <v>15</v>
      </c>
      <c r="H14" t="s">
        <v>12</v>
      </c>
      <c r="I14" t="s">
        <v>87</v>
      </c>
      <c r="J14" t="s">
        <v>56</v>
      </c>
      <c r="K14">
        <v>0.70134988166900303</v>
      </c>
      <c r="L14">
        <v>0.998950885644035</v>
      </c>
      <c r="M14">
        <v>2.7606360962669898</v>
      </c>
      <c r="N14">
        <v>3.5059260879304599</v>
      </c>
    </row>
    <row r="15" spans="1:21" x14ac:dyDescent="0.2">
      <c r="A15" t="s">
        <v>203</v>
      </c>
      <c r="B15" t="s">
        <v>136</v>
      </c>
      <c r="C15">
        <v>2023</v>
      </c>
      <c r="G15" t="s">
        <v>22</v>
      </c>
      <c r="H15" t="s">
        <v>39</v>
      </c>
      <c r="K15">
        <v>0.95988160166868397</v>
      </c>
      <c r="L15">
        <v>1.9070619275280301</v>
      </c>
    </row>
    <row r="16" spans="1:21" x14ac:dyDescent="0.2">
      <c r="A16" t="s">
        <v>208</v>
      </c>
      <c r="B16" t="s">
        <v>137</v>
      </c>
      <c r="C16">
        <v>2023</v>
      </c>
      <c r="D16">
        <v>2045</v>
      </c>
      <c r="G16" t="s">
        <v>22</v>
      </c>
      <c r="H16" t="s">
        <v>63</v>
      </c>
      <c r="I16" t="s">
        <v>68</v>
      </c>
      <c r="K16">
        <v>0.94930597184294896</v>
      </c>
      <c r="L16">
        <v>1.9186587203060399</v>
      </c>
      <c r="M16">
        <v>2.4737583558019298</v>
      </c>
    </row>
    <row r="17" spans="1:14" x14ac:dyDescent="0.2">
      <c r="A17" t="s">
        <v>216</v>
      </c>
      <c r="B17" t="s">
        <v>139</v>
      </c>
      <c r="C17">
        <v>2025</v>
      </c>
      <c r="D17">
        <v>2036</v>
      </c>
      <c r="E17">
        <v>2058</v>
      </c>
      <c r="F17">
        <v>2074</v>
      </c>
      <c r="G17" t="s">
        <v>11</v>
      </c>
      <c r="H17" t="s">
        <v>52</v>
      </c>
      <c r="I17" t="s">
        <v>53</v>
      </c>
      <c r="J17" t="s">
        <v>21</v>
      </c>
      <c r="K17">
        <v>1.22589725809122</v>
      </c>
      <c r="L17">
        <v>1.9896633895682401</v>
      </c>
      <c r="M17">
        <v>3.1859601432453899</v>
      </c>
      <c r="N17">
        <v>4.4512918120014202</v>
      </c>
    </row>
    <row r="18" spans="1:14" x14ac:dyDescent="0.2">
      <c r="A18" t="s">
        <v>99</v>
      </c>
      <c r="B18" t="s">
        <v>139</v>
      </c>
      <c r="C18">
        <v>2030</v>
      </c>
      <c r="D18">
        <v>2042</v>
      </c>
      <c r="E18">
        <v>2060</v>
      </c>
      <c r="F18">
        <v>2080</v>
      </c>
      <c r="G18" t="s">
        <v>12</v>
      </c>
      <c r="H18" t="s">
        <v>25</v>
      </c>
      <c r="I18" t="s">
        <v>26</v>
      </c>
      <c r="J18" t="s">
        <v>89</v>
      </c>
      <c r="K18">
        <v>1.14807129358736</v>
      </c>
      <c r="L18">
        <v>1.92835522339452</v>
      </c>
      <c r="M18">
        <v>3.00087035879264</v>
      </c>
      <c r="N18">
        <v>4.4327790092828199</v>
      </c>
    </row>
    <row r="19" spans="1:14" x14ac:dyDescent="0.2">
      <c r="A19" t="s">
        <v>204</v>
      </c>
      <c r="B19" t="s">
        <v>136</v>
      </c>
      <c r="C19">
        <v>2022</v>
      </c>
      <c r="G19" t="s">
        <v>27</v>
      </c>
      <c r="H19" t="s">
        <v>16</v>
      </c>
      <c r="K19">
        <v>0.67654432549793397</v>
      </c>
      <c r="L19">
        <v>1.22094780806839</v>
      </c>
    </row>
    <row r="20" spans="1:14" x14ac:dyDescent="0.2">
      <c r="A20" t="s">
        <v>209</v>
      </c>
      <c r="B20" t="s">
        <v>137</v>
      </c>
      <c r="C20">
        <v>2020</v>
      </c>
      <c r="D20">
        <v>2034</v>
      </c>
      <c r="E20">
        <v>2062</v>
      </c>
      <c r="G20" t="s">
        <v>48</v>
      </c>
      <c r="H20" t="s">
        <v>59</v>
      </c>
      <c r="I20" t="s">
        <v>196</v>
      </c>
      <c r="K20">
        <v>1.0303568047148599</v>
      </c>
      <c r="L20">
        <v>1.51613320500004</v>
      </c>
      <c r="M20">
        <v>2.6473017385885602</v>
      </c>
    </row>
    <row r="21" spans="1:14" x14ac:dyDescent="0.2">
      <c r="A21" t="s">
        <v>217</v>
      </c>
      <c r="B21" t="s">
        <v>139</v>
      </c>
      <c r="C21">
        <v>2021</v>
      </c>
      <c r="D21">
        <v>2031</v>
      </c>
      <c r="E21">
        <v>2048</v>
      </c>
      <c r="F21">
        <v>2064</v>
      </c>
      <c r="G21" t="s">
        <v>36</v>
      </c>
      <c r="H21" t="s">
        <v>17</v>
      </c>
      <c r="I21" t="s">
        <v>35</v>
      </c>
      <c r="J21" t="s">
        <v>212</v>
      </c>
      <c r="K21">
        <v>0.89503062277614998</v>
      </c>
      <c r="L21">
        <v>1.4438244101794899</v>
      </c>
      <c r="M21">
        <v>2.5547435427169698</v>
      </c>
      <c r="N21">
        <v>3.7748969526302001</v>
      </c>
    </row>
    <row r="22" spans="1:14" x14ac:dyDescent="0.2">
      <c r="A22" t="s">
        <v>205</v>
      </c>
      <c r="B22" t="s">
        <v>136</v>
      </c>
      <c r="C22">
        <v>2029</v>
      </c>
      <c r="G22" t="s">
        <v>42</v>
      </c>
      <c r="H22" t="s">
        <v>43</v>
      </c>
      <c r="K22">
        <v>0.84025725577140498</v>
      </c>
      <c r="L22">
        <v>1.7052057166927399</v>
      </c>
    </row>
    <row r="23" spans="1:14" x14ac:dyDescent="0.2">
      <c r="A23" t="s">
        <v>218</v>
      </c>
      <c r="B23" t="s">
        <v>139</v>
      </c>
      <c r="C23">
        <v>2026</v>
      </c>
      <c r="D23">
        <v>2035</v>
      </c>
      <c r="E23">
        <v>2050</v>
      </c>
      <c r="F23">
        <v>2065</v>
      </c>
      <c r="G23" t="s">
        <v>219</v>
      </c>
      <c r="H23" t="s">
        <v>41</v>
      </c>
      <c r="I23" t="s">
        <v>50</v>
      </c>
      <c r="J23" t="s">
        <v>220</v>
      </c>
      <c r="K23">
        <v>1.06866230118783</v>
      </c>
      <c r="L23">
        <v>1.5759056509904801</v>
      </c>
      <c r="M23">
        <v>2.7276095714778599</v>
      </c>
      <c r="N23">
        <v>4.03220581000412</v>
      </c>
    </row>
    <row r="24" spans="1:14" x14ac:dyDescent="0.2">
      <c r="A24" t="s">
        <v>206</v>
      </c>
      <c r="B24" t="s">
        <v>136</v>
      </c>
      <c r="C24">
        <v>2012</v>
      </c>
      <c r="D24">
        <v>2030</v>
      </c>
      <c r="G24" t="s">
        <v>13</v>
      </c>
      <c r="H24" t="s">
        <v>12</v>
      </c>
      <c r="I24" t="s">
        <v>40</v>
      </c>
      <c r="J24" t="s">
        <v>46</v>
      </c>
      <c r="K24">
        <v>0.22919159</v>
      </c>
      <c r="L24">
        <v>0.94501953999999999</v>
      </c>
      <c r="M24">
        <v>1.9597336000000001</v>
      </c>
      <c r="N24">
        <v>3.5099122999999999</v>
      </c>
    </row>
    <row r="25" spans="1:14" x14ac:dyDescent="0.2">
      <c r="A25" t="s">
        <v>47</v>
      </c>
      <c r="B25" t="s">
        <v>136</v>
      </c>
      <c r="C25">
        <v>2020</v>
      </c>
      <c r="D25">
        <v>2039</v>
      </c>
      <c r="G25" t="s">
        <v>48</v>
      </c>
      <c r="H25" t="s">
        <v>28</v>
      </c>
      <c r="K25">
        <v>0.48637999999999998</v>
      </c>
      <c r="L25">
        <v>0.99413149999999995</v>
      </c>
    </row>
    <row r="26" spans="1:14" x14ac:dyDescent="0.2">
      <c r="A26" t="s">
        <v>75</v>
      </c>
      <c r="B26" t="s">
        <v>137</v>
      </c>
      <c r="C26">
        <v>2019</v>
      </c>
      <c r="D26">
        <v>2034</v>
      </c>
      <c r="E26">
        <v>2066</v>
      </c>
      <c r="G26" t="s">
        <v>15</v>
      </c>
      <c r="H26" t="s">
        <v>59</v>
      </c>
      <c r="I26" t="s">
        <v>57</v>
      </c>
      <c r="K26">
        <v>0.52504269999999997</v>
      </c>
      <c r="L26">
        <v>1.4451324999999999</v>
      </c>
      <c r="M26">
        <v>2.7629134999999998</v>
      </c>
    </row>
    <row r="27" spans="1:14" x14ac:dyDescent="0.2">
      <c r="A27" t="s">
        <v>101</v>
      </c>
      <c r="B27" t="s">
        <v>139</v>
      </c>
      <c r="C27">
        <v>2019</v>
      </c>
      <c r="D27">
        <v>2035</v>
      </c>
      <c r="E27">
        <v>2051</v>
      </c>
      <c r="F27">
        <v>2067</v>
      </c>
      <c r="G27" t="s">
        <v>15</v>
      </c>
      <c r="H27" t="s">
        <v>41</v>
      </c>
      <c r="I27" t="s">
        <v>23</v>
      </c>
      <c r="J27" t="s">
        <v>56</v>
      </c>
      <c r="K27">
        <v>0.43056794999999998</v>
      </c>
      <c r="L27">
        <v>1.2029984</v>
      </c>
      <c r="M27">
        <v>2.6564833999999999</v>
      </c>
      <c r="N27">
        <v>4.1262420000000004</v>
      </c>
    </row>
    <row r="28" spans="1:14" x14ac:dyDescent="0.2">
      <c r="A28" t="s">
        <v>207</v>
      </c>
      <c r="B28" t="s">
        <v>136</v>
      </c>
      <c r="C28">
        <v>2043</v>
      </c>
      <c r="G28" t="s">
        <v>20</v>
      </c>
      <c r="K28">
        <v>1.4470739576551801</v>
      </c>
    </row>
    <row r="29" spans="1:14" x14ac:dyDescent="0.2">
      <c r="A29" t="s">
        <v>210</v>
      </c>
      <c r="B29" t="s">
        <v>137</v>
      </c>
      <c r="C29">
        <v>2037</v>
      </c>
      <c r="D29">
        <v>2058</v>
      </c>
      <c r="G29" t="s">
        <v>45</v>
      </c>
      <c r="H29" t="s">
        <v>53</v>
      </c>
      <c r="K29">
        <v>1.1631742689344899</v>
      </c>
      <c r="L29">
        <v>1.61900668674048</v>
      </c>
    </row>
    <row r="30" spans="1:14" x14ac:dyDescent="0.2">
      <c r="A30" t="s">
        <v>221</v>
      </c>
      <c r="B30" t="s">
        <v>139</v>
      </c>
      <c r="C30">
        <v>2035</v>
      </c>
      <c r="D30">
        <v>2049</v>
      </c>
      <c r="E30">
        <v>2072</v>
      </c>
      <c r="G30" t="s">
        <v>41</v>
      </c>
      <c r="H30" t="s">
        <v>61</v>
      </c>
      <c r="I30" t="s">
        <v>199</v>
      </c>
      <c r="K30">
        <v>1.0042349073621399</v>
      </c>
      <c r="L30">
        <v>1.2396501753064799</v>
      </c>
      <c r="M30">
        <v>2.8472741021049801</v>
      </c>
    </row>
    <row r="31" spans="1:14" x14ac:dyDescent="0.2">
      <c r="A31" t="s">
        <v>76</v>
      </c>
      <c r="B31" t="s">
        <v>137</v>
      </c>
      <c r="C31">
        <v>2056</v>
      </c>
      <c r="D31">
        <v>2086</v>
      </c>
      <c r="G31" t="s">
        <v>54</v>
      </c>
      <c r="H31" t="s">
        <v>68</v>
      </c>
      <c r="K31">
        <v>1.6532092765525299</v>
      </c>
      <c r="L31">
        <v>2.1603128362584698</v>
      </c>
    </row>
    <row r="32" spans="1:14" x14ac:dyDescent="0.2">
      <c r="A32" t="s">
        <v>102</v>
      </c>
      <c r="B32" t="s">
        <v>139</v>
      </c>
      <c r="C32">
        <v>2043</v>
      </c>
      <c r="D32">
        <v>2057</v>
      </c>
      <c r="E32">
        <v>2078</v>
      </c>
      <c r="G32" t="s">
        <v>20</v>
      </c>
      <c r="H32" t="s">
        <v>40</v>
      </c>
      <c r="I32" t="s">
        <v>95</v>
      </c>
      <c r="K32">
        <v>1.39116558498808</v>
      </c>
      <c r="L32">
        <v>1.78786858452693</v>
      </c>
      <c r="M32">
        <v>3.3017069074842902</v>
      </c>
    </row>
    <row r="33" spans="1:13" x14ac:dyDescent="0.2">
      <c r="A33" t="s">
        <v>77</v>
      </c>
      <c r="B33" t="s">
        <v>137</v>
      </c>
      <c r="C33">
        <v>2047</v>
      </c>
      <c r="D33">
        <v>2079</v>
      </c>
      <c r="G33" t="s">
        <v>72</v>
      </c>
      <c r="H33" t="s">
        <v>46</v>
      </c>
      <c r="K33">
        <v>1.4766804064679699</v>
      </c>
      <c r="L33">
        <v>1.9302608195684401</v>
      </c>
    </row>
    <row r="34" spans="1:13" x14ac:dyDescent="0.2">
      <c r="A34" t="s">
        <v>103</v>
      </c>
      <c r="B34" t="s">
        <v>139</v>
      </c>
      <c r="C34">
        <v>2040</v>
      </c>
      <c r="D34">
        <v>2055</v>
      </c>
      <c r="E34">
        <v>2077</v>
      </c>
      <c r="G34" t="s">
        <v>18</v>
      </c>
      <c r="H34" t="s">
        <v>73</v>
      </c>
      <c r="I34" t="s">
        <v>84</v>
      </c>
      <c r="K34">
        <v>1.4563077935103701</v>
      </c>
      <c r="L34">
        <v>2.0562198799908602</v>
      </c>
      <c r="M34">
        <v>3.3375443506061302</v>
      </c>
    </row>
  </sheetData>
  <sortState xmlns:xlrd2="http://schemas.microsoft.com/office/spreadsheetml/2017/richdata2" ref="P44:AC79">
    <sortCondition ref="P44:P79"/>
  </sortState>
  <mergeCells count="3">
    <mergeCell ref="C1:F1"/>
    <mergeCell ref="G1:J1"/>
    <mergeCell ref="K1:N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8C05-2771-3848-B012-80E012E4F18B}">
  <dimension ref="A2:BD151"/>
  <sheetViews>
    <sheetView tabSelected="1" topLeftCell="AE31" workbookViewId="0">
      <selection activeCell="O45" sqref="O45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9.83203125" bestFit="1" customWidth="1"/>
    <col min="18" max="18" width="39.6640625" bestFit="1" customWidth="1"/>
    <col min="19" max="19" width="5.6640625" bestFit="1" customWidth="1"/>
    <col min="27" max="27" width="24" bestFit="1" customWidth="1"/>
    <col min="31" max="31" width="47.33203125" bestFit="1" customWidth="1"/>
    <col min="39" max="39" width="47.33203125" bestFit="1" customWidth="1"/>
  </cols>
  <sheetData>
    <row r="2" spans="1:56" x14ac:dyDescent="0.2">
      <c r="A2" s="24" t="s">
        <v>148</v>
      </c>
      <c r="B2" s="24"/>
      <c r="C2" s="24" t="s">
        <v>1</v>
      </c>
      <c r="D2" s="24"/>
      <c r="E2" s="24"/>
      <c r="F2" s="24"/>
      <c r="G2" s="24" t="s">
        <v>104</v>
      </c>
      <c r="H2" s="24"/>
      <c r="I2" s="24"/>
      <c r="J2" s="24"/>
      <c r="K2" s="24" t="s">
        <v>149</v>
      </c>
      <c r="L2" s="24"/>
      <c r="M2" s="24"/>
      <c r="N2" s="24"/>
      <c r="R2" s="1" t="s">
        <v>0</v>
      </c>
      <c r="S2" s="1"/>
      <c r="T2" s="24" t="s">
        <v>1</v>
      </c>
      <c r="U2" s="24"/>
      <c r="V2" s="24"/>
      <c r="W2" s="24"/>
      <c r="X2" s="24" t="s">
        <v>104</v>
      </c>
      <c r="Y2" s="24"/>
      <c r="Z2" s="24"/>
      <c r="AA2" s="24"/>
      <c r="AE2" s="1" t="s">
        <v>0</v>
      </c>
      <c r="AF2" s="24" t="s">
        <v>1</v>
      </c>
      <c r="AG2" s="24"/>
      <c r="AH2" s="24"/>
      <c r="AI2" s="24"/>
      <c r="AM2" s="1" t="s">
        <v>0</v>
      </c>
      <c r="AN2" s="1"/>
      <c r="AO2" s="24" t="s">
        <v>1</v>
      </c>
      <c r="AP2" s="24"/>
      <c r="AQ2" s="24"/>
      <c r="AR2" s="24"/>
      <c r="AS2" s="24" t="s">
        <v>104</v>
      </c>
      <c r="AT2" s="24"/>
      <c r="AU2" s="24"/>
      <c r="AV2" s="24"/>
      <c r="AW2" s="24" t="s">
        <v>146</v>
      </c>
      <c r="AX2" s="24"/>
      <c r="AY2" s="24"/>
      <c r="AZ2" s="24"/>
      <c r="BA2" s="24" t="s">
        <v>147</v>
      </c>
      <c r="BB2" s="24"/>
      <c r="BC2" s="24"/>
      <c r="BD2" s="24"/>
    </row>
    <row r="3" spans="1:56" x14ac:dyDescent="0.2">
      <c r="A3" s="1" t="s">
        <v>106</v>
      </c>
      <c r="B3" s="1" t="s">
        <v>150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4</v>
      </c>
      <c r="L3" s="1" t="s">
        <v>5</v>
      </c>
      <c r="M3" s="1" t="s">
        <v>6</v>
      </c>
      <c r="N3" s="1" t="s">
        <v>7</v>
      </c>
      <c r="R3" s="1" t="s">
        <v>106</v>
      </c>
      <c r="S3" s="1" t="s">
        <v>130</v>
      </c>
      <c r="T3" s="1" t="s">
        <v>4</v>
      </c>
      <c r="U3" s="1" t="s">
        <v>5</v>
      </c>
      <c r="V3" s="1" t="s">
        <v>6</v>
      </c>
      <c r="W3" s="1" t="s">
        <v>7</v>
      </c>
      <c r="X3" s="1" t="s">
        <v>4</v>
      </c>
      <c r="Y3" s="1" t="s">
        <v>5</v>
      </c>
      <c r="Z3" s="1" t="s">
        <v>6</v>
      </c>
      <c r="AA3" s="1" t="s">
        <v>7</v>
      </c>
      <c r="AE3" s="1" t="s">
        <v>3</v>
      </c>
      <c r="AF3" s="1" t="s">
        <v>4</v>
      </c>
      <c r="AG3" s="1" t="s">
        <v>5</v>
      </c>
      <c r="AH3" s="1" t="s">
        <v>6</v>
      </c>
      <c r="AI3" s="1" t="s">
        <v>7</v>
      </c>
      <c r="AM3" s="1" t="s">
        <v>3</v>
      </c>
      <c r="AN3" s="1" t="s">
        <v>134</v>
      </c>
      <c r="AO3" s="1" t="s">
        <v>4</v>
      </c>
      <c r="AP3" s="1" t="s">
        <v>5</v>
      </c>
      <c r="AQ3" s="1" t="s">
        <v>6</v>
      </c>
      <c r="AR3" s="1" t="s">
        <v>7</v>
      </c>
      <c r="AS3" s="1" t="s">
        <v>4</v>
      </c>
      <c r="AT3" s="1" t="s">
        <v>5</v>
      </c>
      <c r="AU3" s="1" t="s">
        <v>6</v>
      </c>
      <c r="AV3" s="1" t="s">
        <v>7</v>
      </c>
      <c r="AW3" s="1" t="s">
        <v>4</v>
      </c>
      <c r="AX3" s="1" t="s">
        <v>5</v>
      </c>
      <c r="AY3" s="1" t="s">
        <v>6</v>
      </c>
      <c r="AZ3" s="1" t="s">
        <v>7</v>
      </c>
      <c r="BA3" s="1" t="s">
        <v>4</v>
      </c>
      <c r="BB3" s="1" t="s">
        <v>5</v>
      </c>
      <c r="BC3" s="1" t="s">
        <v>6</v>
      </c>
      <c r="BD3" s="1" t="s">
        <v>7</v>
      </c>
    </row>
    <row r="4" spans="1:56" x14ac:dyDescent="0.2">
      <c r="A4" s="12" t="s">
        <v>159</v>
      </c>
      <c r="B4" t="s">
        <v>160</v>
      </c>
      <c r="C4">
        <v>2038</v>
      </c>
      <c r="D4">
        <v>2059</v>
      </c>
      <c r="E4" t="s">
        <v>241</v>
      </c>
      <c r="F4" t="s">
        <v>241</v>
      </c>
      <c r="G4" s="2">
        <v>0.63252829487877804</v>
      </c>
      <c r="H4" s="2">
        <v>1.610914836536</v>
      </c>
      <c r="I4" s="2" t="s">
        <v>241</v>
      </c>
      <c r="J4" s="2" t="s">
        <v>241</v>
      </c>
      <c r="K4" s="2">
        <v>0.35588681999999999</v>
      </c>
      <c r="L4" s="2">
        <v>1.1164337</v>
      </c>
      <c r="M4" s="2" t="s">
        <v>241</v>
      </c>
      <c r="N4" s="2" t="s">
        <v>241</v>
      </c>
      <c r="R4" t="s">
        <v>107</v>
      </c>
      <c r="S4" t="s">
        <v>131</v>
      </c>
      <c r="T4">
        <v>2044</v>
      </c>
      <c r="U4">
        <v>2034</v>
      </c>
      <c r="V4">
        <v>2076</v>
      </c>
      <c r="W4">
        <v>2088</v>
      </c>
      <c r="X4" s="23">
        <v>0.83663283039253999</v>
      </c>
      <c r="Y4" s="23">
        <v>0.96672905815973698</v>
      </c>
      <c r="Z4" s="23">
        <v>1.8179915675410701</v>
      </c>
      <c r="AA4" s="23">
        <v>3.8460715047062499</v>
      </c>
      <c r="AE4" t="s">
        <v>24</v>
      </c>
      <c r="AF4">
        <v>2042</v>
      </c>
      <c r="AG4">
        <v>2058</v>
      </c>
      <c r="AH4">
        <v>2066</v>
      </c>
      <c r="AI4">
        <v>2055</v>
      </c>
      <c r="AM4" t="s">
        <v>9</v>
      </c>
      <c r="AN4" t="s">
        <v>135</v>
      </c>
      <c r="AO4">
        <v>2013</v>
      </c>
      <c r="AP4">
        <v>2025</v>
      </c>
      <c r="AS4" s="2">
        <v>0.39268916094745798</v>
      </c>
      <c r="AT4" s="2">
        <v>1.12528774120191</v>
      </c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2">
      <c r="A5" s="13" t="s">
        <v>159</v>
      </c>
      <c r="B5" t="s">
        <v>225</v>
      </c>
      <c r="C5">
        <v>2038</v>
      </c>
      <c r="D5">
        <v>2059</v>
      </c>
      <c r="E5" t="s">
        <v>241</v>
      </c>
      <c r="F5" t="s">
        <v>241</v>
      </c>
      <c r="G5" s="2">
        <v>0.63252829487877804</v>
      </c>
      <c r="H5" s="2">
        <v>1.610914836536</v>
      </c>
      <c r="I5" s="2" t="s">
        <v>241</v>
      </c>
      <c r="J5" s="2" t="s">
        <v>241</v>
      </c>
      <c r="K5" s="2">
        <v>0.42781787999999998</v>
      </c>
      <c r="L5" s="2">
        <v>1.4269999</v>
      </c>
      <c r="M5" s="2" t="s">
        <v>241</v>
      </c>
      <c r="N5" s="2" t="s">
        <v>241</v>
      </c>
      <c r="R5" t="s">
        <v>108</v>
      </c>
      <c r="S5" t="s">
        <v>131</v>
      </c>
      <c r="T5">
        <v>2014</v>
      </c>
      <c r="U5">
        <v>2032</v>
      </c>
      <c r="V5">
        <v>2079</v>
      </c>
      <c r="W5">
        <v>2069</v>
      </c>
      <c r="X5" s="23">
        <v>0.31774715847441198</v>
      </c>
      <c r="Y5" s="23">
        <v>0.89545909033877502</v>
      </c>
      <c r="Z5" s="23">
        <v>2.8577991666382299</v>
      </c>
      <c r="AA5" s="23">
        <v>3.2761420921043301</v>
      </c>
      <c r="AE5" t="s">
        <v>51</v>
      </c>
      <c r="AF5">
        <v>2036</v>
      </c>
      <c r="AG5">
        <v>2044</v>
      </c>
      <c r="AH5">
        <v>2050</v>
      </c>
      <c r="AI5">
        <v>2073</v>
      </c>
      <c r="AM5" t="s">
        <v>14</v>
      </c>
      <c r="AN5" t="s">
        <v>135</v>
      </c>
      <c r="AO5">
        <v>2019</v>
      </c>
      <c r="AP5">
        <v>2038</v>
      </c>
      <c r="AS5" s="2">
        <v>0.5449524</v>
      </c>
      <c r="AT5" s="2">
        <v>1.2996490999999999</v>
      </c>
      <c r="AU5" s="2"/>
      <c r="AV5" s="2"/>
      <c r="BA5" s="2"/>
      <c r="BB5" s="2"/>
      <c r="BC5" s="2"/>
      <c r="BD5" s="2"/>
    </row>
    <row r="6" spans="1:56" x14ac:dyDescent="0.2">
      <c r="A6" s="14" t="s">
        <v>159</v>
      </c>
      <c r="B6" t="s">
        <v>226</v>
      </c>
      <c r="C6">
        <v>2038</v>
      </c>
      <c r="D6">
        <v>2059</v>
      </c>
      <c r="E6" t="s">
        <v>241</v>
      </c>
      <c r="F6" t="s">
        <v>241</v>
      </c>
      <c r="G6" s="2">
        <v>0.63252829487877804</v>
      </c>
      <c r="H6" s="2">
        <v>1.610914836536</v>
      </c>
      <c r="I6" s="2" t="s">
        <v>241</v>
      </c>
      <c r="J6" s="2" t="s">
        <v>241</v>
      </c>
      <c r="K6" s="2">
        <v>0.52190990000000004</v>
      </c>
      <c r="L6" s="2">
        <v>1.4629586999999999</v>
      </c>
      <c r="M6" s="2" t="s">
        <v>241</v>
      </c>
      <c r="N6" s="2" t="s">
        <v>241</v>
      </c>
      <c r="R6" t="s">
        <v>183</v>
      </c>
      <c r="S6" t="s">
        <v>131</v>
      </c>
      <c r="T6">
        <v>2024</v>
      </c>
      <c r="U6">
        <v>2047</v>
      </c>
      <c r="V6">
        <v>2070</v>
      </c>
      <c r="W6">
        <v>2083</v>
      </c>
      <c r="X6" s="23">
        <v>0.15918416752297701</v>
      </c>
      <c r="Y6" s="23">
        <v>0.89021165758271004</v>
      </c>
      <c r="Z6" s="23">
        <v>1.9388497246635801</v>
      </c>
      <c r="AA6" s="23">
        <v>2.9187363127111499</v>
      </c>
      <c r="AE6" t="s">
        <v>94</v>
      </c>
      <c r="AF6">
        <v>2031</v>
      </c>
      <c r="AG6">
        <v>2027</v>
      </c>
      <c r="AH6">
        <v>2041</v>
      </c>
      <c r="AI6">
        <v>2067</v>
      </c>
      <c r="AM6" t="s">
        <v>24</v>
      </c>
      <c r="AN6" t="s">
        <v>136</v>
      </c>
      <c r="AO6">
        <v>2042</v>
      </c>
      <c r="AS6" s="2">
        <v>0.50765736677745898</v>
      </c>
      <c r="AT6" s="2"/>
      <c r="AU6" s="2"/>
      <c r="AV6" s="2"/>
      <c r="BA6" s="2"/>
      <c r="BB6" s="2"/>
      <c r="BC6" s="2"/>
      <c r="BD6" s="2"/>
    </row>
    <row r="7" spans="1:56" x14ac:dyDescent="0.2">
      <c r="A7" t="s">
        <v>171</v>
      </c>
      <c r="B7" t="s">
        <v>172</v>
      </c>
      <c r="C7">
        <v>2031</v>
      </c>
      <c r="D7">
        <v>2046</v>
      </c>
      <c r="E7">
        <v>2068</v>
      </c>
      <c r="F7" t="s">
        <v>241</v>
      </c>
      <c r="G7" s="2">
        <v>0.80631215971271497</v>
      </c>
      <c r="H7" s="2">
        <v>1.5717548309150999</v>
      </c>
      <c r="I7" s="2">
        <v>2.6047206391182098</v>
      </c>
      <c r="J7" s="2" t="s">
        <v>241</v>
      </c>
      <c r="K7" s="2">
        <v>0.50512855999999995</v>
      </c>
      <c r="L7" s="2">
        <v>1.0469978</v>
      </c>
      <c r="M7" s="2">
        <v>2.019355</v>
      </c>
      <c r="N7" s="2" t="s">
        <v>241</v>
      </c>
      <c r="R7" t="s">
        <v>184</v>
      </c>
      <c r="S7" t="s">
        <v>131</v>
      </c>
      <c r="T7">
        <v>2024</v>
      </c>
      <c r="U7">
        <v>2044</v>
      </c>
      <c r="V7">
        <v>2078</v>
      </c>
      <c r="W7">
        <v>2071</v>
      </c>
      <c r="X7" s="23">
        <v>1.3653254416148299</v>
      </c>
      <c r="Y7" s="23">
        <v>0.87075942812776297</v>
      </c>
      <c r="Z7" s="23">
        <v>2.1307141433336501</v>
      </c>
      <c r="AA7" s="23">
        <v>4.9136741564842401</v>
      </c>
      <c r="AE7" t="s">
        <v>37</v>
      </c>
      <c r="AF7">
        <v>2014</v>
      </c>
      <c r="AG7">
        <v>2025</v>
      </c>
      <c r="AH7">
        <v>2059</v>
      </c>
      <c r="AI7">
        <v>2074</v>
      </c>
      <c r="AM7" t="s">
        <v>32</v>
      </c>
      <c r="AN7" t="s">
        <v>136</v>
      </c>
      <c r="AO7">
        <v>2018</v>
      </c>
      <c r="AP7">
        <v>2031</v>
      </c>
      <c r="AS7" s="2">
        <v>0.71423186692603902</v>
      </c>
      <c r="AT7" s="2">
        <v>0.94311847540844496</v>
      </c>
      <c r="AU7" s="2"/>
      <c r="AV7" s="2"/>
      <c r="BA7" s="2"/>
      <c r="BB7" s="2"/>
      <c r="BC7" s="2"/>
      <c r="BD7" s="2"/>
    </row>
    <row r="8" spans="1:56" x14ac:dyDescent="0.2">
      <c r="A8" t="s">
        <v>171</v>
      </c>
      <c r="B8" s="3" t="s">
        <v>231</v>
      </c>
      <c r="C8">
        <v>2031</v>
      </c>
      <c r="D8">
        <v>2046</v>
      </c>
      <c r="E8">
        <v>2068</v>
      </c>
      <c r="F8">
        <v>2088</v>
      </c>
      <c r="G8" s="2">
        <v>0.80631215971271497</v>
      </c>
      <c r="H8" s="2">
        <v>1.5717548309150999</v>
      </c>
      <c r="I8" s="2">
        <v>2.6047206391182098</v>
      </c>
      <c r="J8" s="2">
        <v>3.8460715047062499</v>
      </c>
      <c r="K8" s="2">
        <v>0.78271276000000001</v>
      </c>
      <c r="L8" s="2">
        <v>1.2177255</v>
      </c>
      <c r="M8" s="2">
        <v>2.6094992000000001</v>
      </c>
      <c r="N8" s="2">
        <v>3.5986015999999998</v>
      </c>
      <c r="R8" t="s">
        <v>109</v>
      </c>
      <c r="S8" t="s">
        <v>131</v>
      </c>
      <c r="T8">
        <v>2011</v>
      </c>
      <c r="U8">
        <v>2059</v>
      </c>
      <c r="V8">
        <v>2068</v>
      </c>
      <c r="W8">
        <v>2072</v>
      </c>
      <c r="X8" s="23">
        <v>0.36656778123640099</v>
      </c>
      <c r="Y8" s="23">
        <v>1.610914836536</v>
      </c>
      <c r="Z8" s="23">
        <v>2.6047206391182098</v>
      </c>
      <c r="AA8" s="23">
        <v>4.2617375100454602</v>
      </c>
      <c r="AE8" t="s">
        <v>64</v>
      </c>
      <c r="AF8">
        <v>2014</v>
      </c>
      <c r="AG8">
        <v>2023</v>
      </c>
      <c r="AH8">
        <v>2052</v>
      </c>
      <c r="AI8">
        <v>2080</v>
      </c>
      <c r="AM8" t="s">
        <v>34</v>
      </c>
      <c r="AN8" t="s">
        <v>136</v>
      </c>
      <c r="AO8">
        <v>2028</v>
      </c>
      <c r="AP8">
        <v>2060</v>
      </c>
      <c r="AS8" s="2">
        <v>0.68443506444989699</v>
      </c>
      <c r="AT8" s="2">
        <v>1.4934826904101901</v>
      </c>
      <c r="AU8" s="2"/>
      <c r="AV8" s="2"/>
      <c r="BA8" s="2"/>
      <c r="BB8" s="2"/>
      <c r="BC8" s="2"/>
      <c r="BD8" s="2"/>
    </row>
    <row r="9" spans="1:56" x14ac:dyDescent="0.2">
      <c r="A9" t="s">
        <v>171</v>
      </c>
      <c r="B9" t="s">
        <v>232</v>
      </c>
      <c r="C9">
        <v>2031</v>
      </c>
      <c r="D9">
        <v>2046</v>
      </c>
      <c r="E9">
        <v>2068</v>
      </c>
      <c r="F9">
        <v>2088</v>
      </c>
      <c r="G9" s="2">
        <v>0.80631215971271497</v>
      </c>
      <c r="H9" s="2">
        <v>1.5717548309150999</v>
      </c>
      <c r="I9" s="2">
        <v>2.6047206391182098</v>
      </c>
      <c r="J9" s="2">
        <v>3.8460715047062499</v>
      </c>
      <c r="K9" s="2">
        <v>0.79933995000000002</v>
      </c>
      <c r="L9" s="2">
        <v>1.4378808999999999</v>
      </c>
      <c r="M9" s="2">
        <v>2.7811110000000001</v>
      </c>
      <c r="N9" s="2">
        <v>3.9668462</v>
      </c>
      <c r="R9" t="s">
        <v>110</v>
      </c>
      <c r="S9" t="s">
        <v>131</v>
      </c>
      <c r="T9">
        <v>2016</v>
      </c>
      <c r="U9">
        <v>2032</v>
      </c>
      <c r="V9">
        <v>2050</v>
      </c>
      <c r="W9">
        <v>2066</v>
      </c>
      <c r="X9" s="23">
        <v>0.387773928972933</v>
      </c>
      <c r="Y9" s="23">
        <v>0.81726423192909303</v>
      </c>
      <c r="Z9" s="23">
        <v>1.8766875938133201</v>
      </c>
      <c r="AA9" s="23">
        <v>3.4109224743312501</v>
      </c>
      <c r="AE9" t="s">
        <v>98</v>
      </c>
      <c r="AF9">
        <v>2013</v>
      </c>
      <c r="AG9">
        <v>2049</v>
      </c>
      <c r="AH9">
        <v>2058</v>
      </c>
      <c r="AI9">
        <v>2064</v>
      </c>
      <c r="AM9" t="s">
        <v>37</v>
      </c>
      <c r="AN9" t="s">
        <v>136</v>
      </c>
      <c r="AO9">
        <v>2014</v>
      </c>
      <c r="AP9">
        <v>2027</v>
      </c>
      <c r="AS9" s="2">
        <v>0.44814990008318001</v>
      </c>
      <c r="AT9" s="2">
        <v>0.91811225325973</v>
      </c>
      <c r="AU9" s="2"/>
      <c r="AV9" s="2"/>
    </row>
    <row r="10" spans="1:56" x14ac:dyDescent="0.2">
      <c r="A10" s="5" t="s">
        <v>151</v>
      </c>
      <c r="B10" t="s">
        <v>152</v>
      </c>
      <c r="C10" t="s">
        <v>241</v>
      </c>
      <c r="D10" t="s">
        <v>241</v>
      </c>
      <c r="E10" t="s">
        <v>241</v>
      </c>
      <c r="F10" t="s">
        <v>241</v>
      </c>
      <c r="G10" s="2" t="s">
        <v>241</v>
      </c>
      <c r="H10" s="2" t="s">
        <v>241</v>
      </c>
      <c r="I10" s="2" t="s">
        <v>241</v>
      </c>
      <c r="J10" s="2" t="s">
        <v>241</v>
      </c>
      <c r="K10" s="2" t="s">
        <v>241</v>
      </c>
      <c r="L10" s="2" t="s">
        <v>241</v>
      </c>
      <c r="M10" s="2" t="s">
        <v>241</v>
      </c>
      <c r="N10" s="2" t="s">
        <v>241</v>
      </c>
      <c r="R10" t="s">
        <v>185</v>
      </c>
      <c r="S10" t="s">
        <v>131</v>
      </c>
      <c r="T10">
        <v>2023</v>
      </c>
      <c r="U10">
        <v>2045</v>
      </c>
      <c r="V10">
        <v>2061</v>
      </c>
      <c r="W10">
        <v>2067</v>
      </c>
      <c r="X10" s="23">
        <v>0.56211865743001899</v>
      </c>
      <c r="Y10" s="23">
        <v>0.86234560615966405</v>
      </c>
      <c r="Z10" s="23">
        <v>1.93926760911421</v>
      </c>
      <c r="AA10" s="23">
        <v>3.2069946275303298</v>
      </c>
      <c r="AE10" t="s">
        <v>34</v>
      </c>
      <c r="AF10">
        <v>2028</v>
      </c>
      <c r="AG10">
        <v>2041</v>
      </c>
      <c r="AH10">
        <v>2060</v>
      </c>
      <c r="AI10">
        <v>2065</v>
      </c>
      <c r="AM10" t="s">
        <v>203</v>
      </c>
      <c r="AN10" t="s">
        <v>136</v>
      </c>
      <c r="AO10">
        <v>2023</v>
      </c>
      <c r="AP10">
        <v>2044</v>
      </c>
      <c r="AS10" s="2">
        <v>0.95988160166868397</v>
      </c>
      <c r="AT10" s="2">
        <v>1.9070619275280301</v>
      </c>
      <c r="AU10" s="2"/>
      <c r="AV10" s="2"/>
    </row>
    <row r="11" spans="1:56" x14ac:dyDescent="0.2">
      <c r="A11" s="6" t="s">
        <v>151</v>
      </c>
      <c r="B11" t="s">
        <v>222</v>
      </c>
      <c r="C11">
        <v>2024</v>
      </c>
      <c r="D11" t="s">
        <v>241</v>
      </c>
      <c r="E11" t="s">
        <v>241</v>
      </c>
      <c r="F11" t="s">
        <v>241</v>
      </c>
      <c r="G11" s="2">
        <v>0.15918416752297701</v>
      </c>
      <c r="H11" s="2" t="s">
        <v>241</v>
      </c>
      <c r="I11" s="2" t="s">
        <v>241</v>
      </c>
      <c r="J11" s="2" t="s">
        <v>241</v>
      </c>
      <c r="K11" s="2">
        <v>0.29548099999999999</v>
      </c>
      <c r="L11" s="2" t="s">
        <v>241</v>
      </c>
      <c r="M11" s="2" t="s">
        <v>241</v>
      </c>
      <c r="N11" s="2" t="s">
        <v>241</v>
      </c>
      <c r="R11" t="s">
        <v>186</v>
      </c>
      <c r="S11" t="s">
        <v>131</v>
      </c>
      <c r="T11">
        <v>2017</v>
      </c>
      <c r="U11">
        <v>2045</v>
      </c>
      <c r="V11">
        <v>2062</v>
      </c>
      <c r="W11">
        <v>2082</v>
      </c>
      <c r="X11" s="23">
        <v>0.57081158955894795</v>
      </c>
      <c r="Y11" s="23">
        <v>0.62479549838627901</v>
      </c>
      <c r="Z11" s="23">
        <v>1.5027791696181101</v>
      </c>
      <c r="AA11" s="23">
        <v>3.25464655558264</v>
      </c>
      <c r="AE11" t="s">
        <v>60</v>
      </c>
      <c r="AF11">
        <v>2031</v>
      </c>
      <c r="AG11">
        <v>2034</v>
      </c>
      <c r="AH11">
        <v>2062</v>
      </c>
      <c r="AI11">
        <v>2067</v>
      </c>
      <c r="AM11" t="s">
        <v>204</v>
      </c>
      <c r="AN11" t="s">
        <v>136</v>
      </c>
      <c r="AO11">
        <v>2022</v>
      </c>
      <c r="AP11">
        <v>2038</v>
      </c>
      <c r="AS11" s="2">
        <v>0.67654432549793397</v>
      </c>
      <c r="AT11" s="2">
        <v>1.22094780806839</v>
      </c>
      <c r="AU11" s="2"/>
      <c r="AV11" s="2"/>
    </row>
    <row r="12" spans="1:56" x14ac:dyDescent="0.2">
      <c r="A12" s="7" t="s">
        <v>151</v>
      </c>
      <c r="B12" t="s">
        <v>223</v>
      </c>
      <c r="C12">
        <v>2024</v>
      </c>
      <c r="D12" t="s">
        <v>241</v>
      </c>
      <c r="E12" t="s">
        <v>241</v>
      </c>
      <c r="F12" t="s">
        <v>241</v>
      </c>
      <c r="G12" s="2">
        <v>0.15918416752297701</v>
      </c>
      <c r="H12" s="2" t="s">
        <v>241</v>
      </c>
      <c r="I12" s="2" t="s">
        <v>241</v>
      </c>
      <c r="J12" s="2" t="s">
        <v>241</v>
      </c>
      <c r="K12" s="2">
        <v>0.45683049999999997</v>
      </c>
      <c r="L12" s="2" t="s">
        <v>241</v>
      </c>
      <c r="M12" s="2" t="s">
        <v>241</v>
      </c>
      <c r="N12" s="2" t="s">
        <v>241</v>
      </c>
      <c r="R12" t="s">
        <v>112</v>
      </c>
      <c r="S12" t="s">
        <v>131</v>
      </c>
      <c r="T12">
        <v>2085</v>
      </c>
      <c r="U12">
        <v>2044</v>
      </c>
      <c r="V12">
        <v>2055</v>
      </c>
      <c r="W12">
        <v>2086</v>
      </c>
      <c r="X12" s="23">
        <v>1.41822244149666</v>
      </c>
      <c r="Y12" s="23">
        <v>1.99852194768752</v>
      </c>
      <c r="Z12" s="23">
        <v>3.3167032989732199</v>
      </c>
      <c r="AA12" s="23">
        <v>3.5750805834353399</v>
      </c>
      <c r="AE12" t="s">
        <v>97</v>
      </c>
      <c r="AF12">
        <v>2029</v>
      </c>
      <c r="AG12">
        <v>2030</v>
      </c>
      <c r="AH12">
        <v>2048</v>
      </c>
      <c r="AM12" t="s">
        <v>205</v>
      </c>
      <c r="AN12" t="s">
        <v>136</v>
      </c>
      <c r="AO12">
        <v>2029</v>
      </c>
      <c r="AP12">
        <v>2041</v>
      </c>
      <c r="AS12" s="2">
        <v>0.84025725577140498</v>
      </c>
      <c r="AT12" s="2">
        <v>1.7052057166927399</v>
      </c>
      <c r="AU12" s="2"/>
      <c r="AV12" s="2"/>
    </row>
    <row r="13" spans="1:56" x14ac:dyDescent="0.2">
      <c r="A13" t="s">
        <v>237</v>
      </c>
      <c r="B13" t="s">
        <v>238</v>
      </c>
      <c r="C13" t="s">
        <v>241</v>
      </c>
      <c r="D13" t="s">
        <v>241</v>
      </c>
      <c r="E13" t="s">
        <v>241</v>
      </c>
      <c r="F13" t="s">
        <v>241</v>
      </c>
      <c r="G13" s="2" t="s">
        <v>241</v>
      </c>
      <c r="H13" s="2" t="s">
        <v>241</v>
      </c>
      <c r="I13" s="2" t="s">
        <v>241</v>
      </c>
      <c r="J13" s="2" t="s">
        <v>241</v>
      </c>
      <c r="K13" s="2" t="s">
        <v>241</v>
      </c>
      <c r="L13" s="2" t="s">
        <v>241</v>
      </c>
      <c r="M13" s="2" t="s">
        <v>241</v>
      </c>
      <c r="N13" s="2" t="s">
        <v>241</v>
      </c>
      <c r="R13" t="s">
        <v>113</v>
      </c>
      <c r="S13" t="s">
        <v>131</v>
      </c>
      <c r="T13">
        <v>2012</v>
      </c>
      <c r="U13">
        <v>2031</v>
      </c>
      <c r="V13">
        <v>2055</v>
      </c>
      <c r="W13">
        <v>2084</v>
      </c>
      <c r="X13" s="23">
        <v>0.24525560358096299</v>
      </c>
      <c r="Y13" s="23">
        <v>0.80277699364550803</v>
      </c>
      <c r="Z13" s="23">
        <v>2.85472428786268</v>
      </c>
      <c r="AA13" s="23">
        <v>3.8378899609600099</v>
      </c>
      <c r="AE13" t="s">
        <v>32</v>
      </c>
      <c r="AF13">
        <v>2018</v>
      </c>
      <c r="AG13">
        <v>2045</v>
      </c>
      <c r="AH13">
        <v>2050</v>
      </c>
      <c r="AM13" t="s">
        <v>206</v>
      </c>
      <c r="AN13" t="s">
        <v>136</v>
      </c>
      <c r="AO13">
        <v>2012</v>
      </c>
      <c r="AP13">
        <v>2030</v>
      </c>
      <c r="AQ13">
        <v>2057</v>
      </c>
      <c r="AR13">
        <v>2079</v>
      </c>
      <c r="AS13" s="2">
        <v>0.22919159</v>
      </c>
      <c r="AT13" s="2">
        <v>0.94501953999999999</v>
      </c>
      <c r="AU13" s="2">
        <v>1.9597336000000001</v>
      </c>
      <c r="AV13" s="2">
        <v>3.5099122999999999</v>
      </c>
    </row>
    <row r="14" spans="1:56" x14ac:dyDescent="0.2">
      <c r="A14" s="15" t="s">
        <v>161</v>
      </c>
      <c r="B14" t="s">
        <v>162</v>
      </c>
      <c r="C14">
        <v>2023</v>
      </c>
      <c r="D14">
        <v>2045</v>
      </c>
      <c r="E14" t="s">
        <v>241</v>
      </c>
      <c r="F14" t="s">
        <v>241</v>
      </c>
      <c r="G14" s="2">
        <v>0.37880875913762102</v>
      </c>
      <c r="H14" s="2">
        <v>0.86234560615966405</v>
      </c>
      <c r="I14" s="2" t="s">
        <v>241</v>
      </c>
      <c r="J14" s="2" t="s">
        <v>241</v>
      </c>
      <c r="K14" s="2">
        <v>0.38333833</v>
      </c>
      <c r="L14" s="2">
        <v>0.77936709999999998</v>
      </c>
      <c r="M14" s="2" t="s">
        <v>241</v>
      </c>
      <c r="N14" s="2" t="s">
        <v>241</v>
      </c>
      <c r="R14" t="s">
        <v>114</v>
      </c>
      <c r="S14" t="s">
        <v>131</v>
      </c>
      <c r="T14">
        <v>2023</v>
      </c>
      <c r="U14">
        <v>2034</v>
      </c>
      <c r="V14">
        <v>2048</v>
      </c>
      <c r="X14" s="23">
        <v>0.46622947410301602</v>
      </c>
      <c r="Y14" s="23">
        <v>0.83404442313203897</v>
      </c>
      <c r="Z14" s="23">
        <v>2.1671324835882499</v>
      </c>
      <c r="AE14" t="s">
        <v>58</v>
      </c>
      <c r="AF14">
        <v>2020</v>
      </c>
      <c r="AG14">
        <v>2036</v>
      </c>
      <c r="AH14">
        <v>2066</v>
      </c>
      <c r="AM14" t="s">
        <v>47</v>
      </c>
      <c r="AN14" t="s">
        <v>136</v>
      </c>
      <c r="AO14">
        <v>2020</v>
      </c>
      <c r="AP14">
        <v>2039</v>
      </c>
      <c r="AS14" s="2">
        <v>0.48637999999999998</v>
      </c>
      <c r="AT14" s="2">
        <v>0.99413149999999995</v>
      </c>
      <c r="AU14" s="2"/>
      <c r="AV14" s="2"/>
    </row>
    <row r="15" spans="1:56" x14ac:dyDescent="0.2">
      <c r="A15" s="5" t="s">
        <v>161</v>
      </c>
      <c r="B15" t="s">
        <v>227</v>
      </c>
      <c r="C15">
        <v>2023</v>
      </c>
      <c r="D15">
        <v>2045</v>
      </c>
      <c r="E15" t="s">
        <v>241</v>
      </c>
      <c r="F15" t="s">
        <v>241</v>
      </c>
      <c r="G15" s="2">
        <v>0.37880875913762102</v>
      </c>
      <c r="H15" s="2">
        <v>0.86234560615966405</v>
      </c>
      <c r="I15" s="2" t="s">
        <v>241</v>
      </c>
      <c r="J15" s="2" t="s">
        <v>241</v>
      </c>
      <c r="K15" s="2">
        <v>0.48546289999999997</v>
      </c>
      <c r="L15" s="2">
        <v>1.1440437999999999</v>
      </c>
      <c r="M15" s="2" t="s">
        <v>241</v>
      </c>
      <c r="N15" s="2" t="s">
        <v>241</v>
      </c>
      <c r="R15" t="s">
        <v>115</v>
      </c>
      <c r="S15" t="s">
        <v>133</v>
      </c>
      <c r="T15">
        <v>2038</v>
      </c>
      <c r="U15">
        <v>2045</v>
      </c>
      <c r="V15">
        <v>2051</v>
      </c>
      <c r="X15" s="23">
        <v>0.63252829487877804</v>
      </c>
      <c r="Y15" s="23">
        <v>0.99868554009331101</v>
      </c>
      <c r="Z15" s="23">
        <v>2.0070241649878402</v>
      </c>
      <c r="AE15" t="s">
        <v>96</v>
      </c>
      <c r="AF15">
        <v>2019</v>
      </c>
      <c r="AG15">
        <v>2042</v>
      </c>
      <c r="AH15">
        <v>2051</v>
      </c>
      <c r="AM15" t="s">
        <v>207</v>
      </c>
      <c r="AN15" t="s">
        <v>136</v>
      </c>
      <c r="AO15">
        <v>2043</v>
      </c>
      <c r="AS15" s="2">
        <v>1.4470739576551801</v>
      </c>
      <c r="AT15" s="2"/>
      <c r="AU15" s="2"/>
      <c r="AV15" s="2"/>
    </row>
    <row r="16" spans="1:56" x14ac:dyDescent="0.2">
      <c r="A16" s="16" t="s">
        <v>163</v>
      </c>
      <c r="B16" t="s">
        <v>164</v>
      </c>
      <c r="C16">
        <v>2023</v>
      </c>
      <c r="D16">
        <v>2045</v>
      </c>
      <c r="E16" t="s">
        <v>241</v>
      </c>
      <c r="F16" t="s">
        <v>241</v>
      </c>
      <c r="G16" s="2">
        <v>0.457424211517724</v>
      </c>
      <c r="H16" s="2">
        <v>0.62479549838627901</v>
      </c>
      <c r="I16" s="2" t="s">
        <v>241</v>
      </c>
      <c r="J16" s="2" t="s">
        <v>241</v>
      </c>
      <c r="K16" s="2">
        <v>0.56741010000000003</v>
      </c>
      <c r="L16" s="2">
        <v>0.83607894000000005</v>
      </c>
      <c r="M16" s="2" t="s">
        <v>241</v>
      </c>
      <c r="N16" s="2" t="s">
        <v>241</v>
      </c>
      <c r="R16" t="s">
        <v>116</v>
      </c>
      <c r="S16" t="s">
        <v>133</v>
      </c>
      <c r="T16">
        <v>2018</v>
      </c>
      <c r="U16">
        <v>2068</v>
      </c>
      <c r="V16">
        <v>2062</v>
      </c>
      <c r="X16" s="23">
        <v>0.41300838611745899</v>
      </c>
      <c r="Y16" s="23">
        <v>1.4275242982087399</v>
      </c>
      <c r="Z16" s="23">
        <v>2.13368631998694</v>
      </c>
      <c r="AE16" t="s">
        <v>203</v>
      </c>
      <c r="AF16">
        <v>2023</v>
      </c>
      <c r="AG16">
        <v>2034</v>
      </c>
      <c r="AH16">
        <v>2072</v>
      </c>
      <c r="AM16" t="s">
        <v>51</v>
      </c>
      <c r="AN16" t="s">
        <v>137</v>
      </c>
      <c r="AO16">
        <v>2036</v>
      </c>
      <c r="AP16">
        <v>2058</v>
      </c>
      <c r="AS16" s="2">
        <v>1.24800717137679</v>
      </c>
      <c r="AT16" s="2">
        <v>1.79025508687392</v>
      </c>
      <c r="AU16" s="2"/>
      <c r="AV16" s="2"/>
    </row>
    <row r="17" spans="1:48" x14ac:dyDescent="0.2">
      <c r="A17" t="s">
        <v>237</v>
      </c>
      <c r="B17" t="s">
        <v>239</v>
      </c>
      <c r="C17">
        <v>2023</v>
      </c>
      <c r="D17">
        <v>2045</v>
      </c>
      <c r="E17" t="s">
        <v>241</v>
      </c>
      <c r="F17" t="s">
        <v>241</v>
      </c>
      <c r="G17" s="2">
        <v>0.457424211517724</v>
      </c>
      <c r="H17" s="2">
        <v>0.62479549838627901</v>
      </c>
      <c r="I17" s="2" t="s">
        <v>241</v>
      </c>
      <c r="J17" s="2" t="s">
        <v>241</v>
      </c>
      <c r="K17" s="2">
        <v>0.27099742889404221</v>
      </c>
      <c r="L17" s="2">
        <v>1.1271691322326629</v>
      </c>
      <c r="M17" s="2" t="s">
        <v>241</v>
      </c>
      <c r="N17" s="2" t="s">
        <v>241</v>
      </c>
      <c r="R17" t="s">
        <v>188</v>
      </c>
      <c r="S17" s="4" t="s">
        <v>133</v>
      </c>
      <c r="T17">
        <v>2023</v>
      </c>
      <c r="U17">
        <v>2074</v>
      </c>
      <c r="V17">
        <v>2070</v>
      </c>
      <c r="X17" s="23">
        <v>0.37880875913762102</v>
      </c>
      <c r="Y17" s="23">
        <v>1.85172906098548</v>
      </c>
      <c r="Z17" s="23">
        <v>2.5225286695692</v>
      </c>
      <c r="AE17" t="s">
        <v>208</v>
      </c>
      <c r="AF17">
        <v>2023</v>
      </c>
      <c r="AG17">
        <v>2031</v>
      </c>
      <c r="AH17">
        <v>2078</v>
      </c>
      <c r="AM17" t="s">
        <v>58</v>
      </c>
      <c r="AN17" t="s">
        <v>137</v>
      </c>
      <c r="AO17">
        <v>2020</v>
      </c>
      <c r="AP17">
        <v>2034</v>
      </c>
      <c r="AQ17">
        <v>2063</v>
      </c>
      <c r="AS17" s="2">
        <v>0.65928880106152898</v>
      </c>
      <c r="AT17" s="2">
        <v>1.27930423687614</v>
      </c>
      <c r="AU17" s="2">
        <v>2.4659900553596299</v>
      </c>
      <c r="AV17" s="2"/>
    </row>
    <row r="18" spans="1:48" x14ac:dyDescent="0.2">
      <c r="A18" t="s">
        <v>173</v>
      </c>
      <c r="B18" t="s">
        <v>174</v>
      </c>
      <c r="C18">
        <v>2019</v>
      </c>
      <c r="D18">
        <v>2035</v>
      </c>
      <c r="E18">
        <v>2061</v>
      </c>
      <c r="F18" t="s">
        <v>241</v>
      </c>
      <c r="G18" s="2">
        <v>0.32010671893003101</v>
      </c>
      <c r="H18" s="2">
        <v>0.94183442623305202</v>
      </c>
      <c r="I18" s="2">
        <v>1.93926760911421</v>
      </c>
      <c r="J18" s="2" t="s">
        <v>241</v>
      </c>
      <c r="K18" s="2">
        <v>0.23519899999999999</v>
      </c>
      <c r="L18" s="2">
        <v>0.70149916000000001</v>
      </c>
      <c r="M18" s="2">
        <v>1.7608200000000001</v>
      </c>
      <c r="N18" s="2" t="s">
        <v>241</v>
      </c>
      <c r="R18" t="s">
        <v>189</v>
      </c>
      <c r="S18" s="4" t="s">
        <v>133</v>
      </c>
      <c r="T18">
        <v>2023</v>
      </c>
      <c r="U18">
        <v>2035</v>
      </c>
      <c r="V18">
        <v>2074</v>
      </c>
      <c r="X18" s="23">
        <v>0.457424211517724</v>
      </c>
      <c r="Y18" s="23">
        <v>0.58958780640360797</v>
      </c>
      <c r="Z18" s="23">
        <v>2.51032525521738</v>
      </c>
      <c r="AE18" t="s">
        <v>216</v>
      </c>
      <c r="AF18">
        <v>2025</v>
      </c>
      <c r="AG18">
        <v>2035</v>
      </c>
      <c r="AH18">
        <v>2077</v>
      </c>
      <c r="AM18" t="s">
        <v>60</v>
      </c>
      <c r="AN18" t="s">
        <v>137</v>
      </c>
      <c r="AO18">
        <v>2031</v>
      </c>
      <c r="AP18">
        <v>2049</v>
      </c>
      <c r="AQ18">
        <v>2085</v>
      </c>
      <c r="AS18" s="2">
        <v>0.79185877975170005</v>
      </c>
      <c r="AT18" s="2">
        <v>0.94604524693873704</v>
      </c>
      <c r="AU18" s="2">
        <v>1.9276448337221399</v>
      </c>
      <c r="AV18" s="2"/>
    </row>
    <row r="19" spans="1:48" x14ac:dyDescent="0.2">
      <c r="A19" t="s">
        <v>173</v>
      </c>
      <c r="B19" t="s">
        <v>233</v>
      </c>
      <c r="C19">
        <v>2019</v>
      </c>
      <c r="D19">
        <v>2035</v>
      </c>
      <c r="E19">
        <v>2061</v>
      </c>
      <c r="F19" t="s">
        <v>241</v>
      </c>
      <c r="G19" s="2">
        <v>0.32010671893003101</v>
      </c>
      <c r="H19" s="2">
        <v>0.94183442623305202</v>
      </c>
      <c r="I19" s="2">
        <v>1.93926760911421</v>
      </c>
      <c r="J19" s="2" t="s">
        <v>241</v>
      </c>
      <c r="K19" s="2">
        <v>0.43507950000000001</v>
      </c>
      <c r="L19" s="2">
        <v>1.2004429999999999</v>
      </c>
      <c r="M19" s="2">
        <v>2.6340458</v>
      </c>
      <c r="N19" s="2" t="s">
        <v>241</v>
      </c>
      <c r="R19" t="s">
        <v>190</v>
      </c>
      <c r="S19" t="s">
        <v>133</v>
      </c>
      <c r="T19">
        <v>2029</v>
      </c>
      <c r="U19">
        <v>2044</v>
      </c>
      <c r="V19">
        <v>2060</v>
      </c>
      <c r="X19" s="23">
        <v>1.28844432176343</v>
      </c>
      <c r="Y19" s="23">
        <v>1.0014052497016299</v>
      </c>
      <c r="Z19" s="23">
        <v>2.72245074781776</v>
      </c>
      <c r="AE19" t="s">
        <v>99</v>
      </c>
      <c r="AF19">
        <v>2030</v>
      </c>
      <c r="AG19">
        <v>2030</v>
      </c>
      <c r="AM19" t="s">
        <v>64</v>
      </c>
      <c r="AN19" t="s">
        <v>137</v>
      </c>
      <c r="AO19">
        <v>2014</v>
      </c>
      <c r="AP19">
        <v>2025</v>
      </c>
      <c r="AQ19">
        <v>2050</v>
      </c>
      <c r="AR19">
        <v>2084</v>
      </c>
      <c r="AS19" s="2">
        <v>0.39986685293692897</v>
      </c>
      <c r="AT19" s="2">
        <v>1.07768163327819</v>
      </c>
      <c r="AU19" s="2">
        <v>2.4992855354591899</v>
      </c>
      <c r="AV19" s="2">
        <v>3.4649832266348399</v>
      </c>
    </row>
    <row r="20" spans="1:48" x14ac:dyDescent="0.2">
      <c r="A20" t="s">
        <v>175</v>
      </c>
      <c r="B20" t="s">
        <v>176</v>
      </c>
      <c r="C20">
        <v>2020</v>
      </c>
      <c r="D20">
        <v>2036</v>
      </c>
      <c r="E20">
        <v>2062</v>
      </c>
      <c r="F20">
        <v>2083</v>
      </c>
      <c r="G20" s="2">
        <v>0.33111575072592803</v>
      </c>
      <c r="H20" s="2">
        <v>0.90064316589890403</v>
      </c>
      <c r="I20" s="2">
        <v>1.5027791696181101</v>
      </c>
      <c r="J20" s="2">
        <v>2.9187363127111499</v>
      </c>
      <c r="K20" s="2">
        <v>0.50606775000000004</v>
      </c>
      <c r="L20" s="2">
        <v>0.98450917000000004</v>
      </c>
      <c r="M20" s="2">
        <v>1.5260384</v>
      </c>
      <c r="N20" s="2">
        <v>3.250985</v>
      </c>
      <c r="R20" t="s">
        <v>117</v>
      </c>
      <c r="S20" t="s">
        <v>133</v>
      </c>
      <c r="T20">
        <v>2014</v>
      </c>
      <c r="U20">
        <v>2046</v>
      </c>
      <c r="V20">
        <v>2060</v>
      </c>
      <c r="X20" s="23">
        <v>0.26854250166147098</v>
      </c>
      <c r="Y20" s="23">
        <v>1.5717548309150999</v>
      </c>
      <c r="Z20" s="23">
        <v>2.2598840219002199</v>
      </c>
      <c r="AE20" t="s">
        <v>204</v>
      </c>
      <c r="AF20">
        <v>2022</v>
      </c>
      <c r="AG20">
        <v>2039</v>
      </c>
      <c r="AM20" t="s">
        <v>208</v>
      </c>
      <c r="AN20" t="s">
        <v>137</v>
      </c>
      <c r="AO20">
        <v>2023</v>
      </c>
      <c r="AP20">
        <v>2045</v>
      </c>
      <c r="AQ20">
        <v>2086</v>
      </c>
      <c r="AS20" s="2">
        <v>0.94930597184294896</v>
      </c>
      <c r="AT20" s="2">
        <v>1.9186587203060399</v>
      </c>
      <c r="AU20" s="2">
        <v>2.4737583558019298</v>
      </c>
    </row>
    <row r="21" spans="1:48" x14ac:dyDescent="0.2">
      <c r="A21" t="s">
        <v>237</v>
      </c>
      <c r="B21" t="s">
        <v>240</v>
      </c>
      <c r="C21">
        <v>2020</v>
      </c>
      <c r="D21">
        <v>2036</v>
      </c>
      <c r="E21">
        <v>2062</v>
      </c>
      <c r="F21" t="s">
        <v>241</v>
      </c>
      <c r="G21" s="2">
        <v>0.33111575072592803</v>
      </c>
      <c r="H21" s="2">
        <v>0.90064316589890403</v>
      </c>
      <c r="I21" s="2">
        <v>1.5027791696181101</v>
      </c>
      <c r="J21" s="2" t="s">
        <v>241</v>
      </c>
      <c r="K21" s="2">
        <v>0.51821467876434135</v>
      </c>
      <c r="L21" s="2">
        <v>1.0004473920000001</v>
      </c>
      <c r="M21" s="2">
        <v>1.7846617221832237</v>
      </c>
      <c r="N21" s="2" t="s">
        <v>241</v>
      </c>
      <c r="R21" t="s">
        <v>191</v>
      </c>
      <c r="S21" t="s">
        <v>133</v>
      </c>
      <c r="T21">
        <v>2017</v>
      </c>
      <c r="U21">
        <v>2027</v>
      </c>
      <c r="X21" s="23">
        <v>0.36612952992296299</v>
      </c>
      <c r="Y21" s="23">
        <v>0.73833098234956296</v>
      </c>
      <c r="AE21" t="s">
        <v>209</v>
      </c>
      <c r="AF21">
        <v>2020</v>
      </c>
      <c r="AG21">
        <v>2034</v>
      </c>
      <c r="AM21" t="s">
        <v>70</v>
      </c>
      <c r="AN21" t="s">
        <v>137</v>
      </c>
      <c r="AO21">
        <v>2032</v>
      </c>
      <c r="AP21">
        <v>2050</v>
      </c>
      <c r="AS21" s="2">
        <v>0.99720703714845305</v>
      </c>
      <c r="AT21" s="2">
        <v>1.6772889300680101</v>
      </c>
      <c r="AU21" s="2"/>
    </row>
    <row r="22" spans="1:48" x14ac:dyDescent="0.2">
      <c r="A22" s="19" t="s">
        <v>167</v>
      </c>
      <c r="B22" t="s">
        <v>168</v>
      </c>
      <c r="C22">
        <v>2017</v>
      </c>
      <c r="D22">
        <v>2034</v>
      </c>
      <c r="E22" t="s">
        <v>241</v>
      </c>
      <c r="F22" t="s">
        <v>241</v>
      </c>
      <c r="G22" s="2">
        <v>0.36612952992296299</v>
      </c>
      <c r="H22" s="2">
        <v>0.83404442313203897</v>
      </c>
      <c r="I22" s="2" t="s">
        <v>241</v>
      </c>
      <c r="J22" s="2" t="s">
        <v>241</v>
      </c>
      <c r="K22" s="2">
        <v>0.18303112999999999</v>
      </c>
      <c r="L22" s="2">
        <v>0.70583885999999996</v>
      </c>
      <c r="M22" s="2" t="s">
        <v>241</v>
      </c>
      <c r="N22" s="2" t="s">
        <v>241</v>
      </c>
      <c r="R22" t="s">
        <v>192</v>
      </c>
      <c r="S22" t="s">
        <v>133</v>
      </c>
      <c r="T22">
        <v>2023</v>
      </c>
      <c r="U22">
        <v>2035</v>
      </c>
      <c r="X22" s="23">
        <v>0.27052468193900803</v>
      </c>
      <c r="Y22" s="23">
        <v>0.94183442623305202</v>
      </c>
      <c r="AE22" t="s">
        <v>217</v>
      </c>
      <c r="AF22">
        <v>2021</v>
      </c>
      <c r="AG22">
        <v>2035</v>
      </c>
      <c r="AM22" t="s">
        <v>71</v>
      </c>
      <c r="AN22" t="s">
        <v>137</v>
      </c>
      <c r="AO22">
        <v>2032</v>
      </c>
      <c r="AP22">
        <v>2050</v>
      </c>
      <c r="AS22" s="2">
        <v>0.98323817518911405</v>
      </c>
      <c r="AT22" s="2">
        <v>1.65557634817044</v>
      </c>
      <c r="AU22" s="2"/>
    </row>
    <row r="23" spans="1:48" x14ac:dyDescent="0.2">
      <c r="A23" t="s">
        <v>167</v>
      </c>
      <c r="B23" t="s">
        <v>229</v>
      </c>
      <c r="C23">
        <v>2017</v>
      </c>
      <c r="D23">
        <v>2034</v>
      </c>
      <c r="E23" t="s">
        <v>241</v>
      </c>
      <c r="F23" t="s">
        <v>241</v>
      </c>
      <c r="G23" s="2">
        <v>0.36612952992296299</v>
      </c>
      <c r="H23" s="2">
        <v>0.83404442313203897</v>
      </c>
      <c r="I23" s="2" t="s">
        <v>241</v>
      </c>
      <c r="J23" s="2" t="s">
        <v>241</v>
      </c>
      <c r="K23" s="2">
        <v>0.35165386999999998</v>
      </c>
      <c r="L23" s="2">
        <v>0.74572194000000003</v>
      </c>
      <c r="M23" s="2" t="s">
        <v>241</v>
      </c>
      <c r="N23" s="2" t="s">
        <v>241</v>
      </c>
      <c r="R23" t="s">
        <v>118</v>
      </c>
      <c r="S23" t="s">
        <v>133</v>
      </c>
      <c r="T23">
        <v>2042</v>
      </c>
      <c r="U23">
        <v>2036</v>
      </c>
      <c r="X23" s="23">
        <v>1.04776215729892</v>
      </c>
      <c r="Y23" s="23">
        <v>0.90064316589890403</v>
      </c>
      <c r="AE23" t="s">
        <v>205</v>
      </c>
      <c r="AF23">
        <v>2029</v>
      </c>
      <c r="AG23">
        <v>2058</v>
      </c>
      <c r="AM23" t="s">
        <v>209</v>
      </c>
      <c r="AN23" t="s">
        <v>137</v>
      </c>
      <c r="AO23">
        <v>2020</v>
      </c>
      <c r="AP23">
        <v>2034</v>
      </c>
      <c r="AQ23">
        <v>2062</v>
      </c>
      <c r="AS23" s="2">
        <v>1.0303568047148599</v>
      </c>
      <c r="AT23" s="2">
        <v>1.51613320500004</v>
      </c>
      <c r="AU23" s="2">
        <v>2.6473017385885602</v>
      </c>
    </row>
    <row r="24" spans="1:48" x14ac:dyDescent="0.2">
      <c r="A24" t="s">
        <v>179</v>
      </c>
      <c r="B24" t="s">
        <v>180</v>
      </c>
      <c r="C24">
        <v>2016</v>
      </c>
      <c r="D24">
        <v>2031</v>
      </c>
      <c r="E24">
        <v>2051</v>
      </c>
      <c r="F24" t="s">
        <v>241</v>
      </c>
      <c r="G24" s="2">
        <v>0.45625948782276199</v>
      </c>
      <c r="H24" s="2">
        <v>0.70197696001481202</v>
      </c>
      <c r="I24" s="2">
        <v>2.0070241649878402</v>
      </c>
      <c r="J24" s="2" t="s">
        <v>241</v>
      </c>
      <c r="K24" s="2">
        <v>0.40934577999999999</v>
      </c>
      <c r="L24" s="2">
        <v>0.16441785</v>
      </c>
      <c r="M24" s="2">
        <v>0.91975899999999999</v>
      </c>
      <c r="N24" s="2" t="s">
        <v>241</v>
      </c>
      <c r="R24" t="s">
        <v>119</v>
      </c>
      <c r="S24" t="s">
        <v>133</v>
      </c>
      <c r="T24">
        <v>2040</v>
      </c>
      <c r="U24">
        <v>2035</v>
      </c>
      <c r="X24" s="23">
        <v>1.2713410977964501</v>
      </c>
      <c r="Y24" s="23">
        <v>1.8814544179047701</v>
      </c>
      <c r="AE24" t="s">
        <v>218</v>
      </c>
      <c r="AF24">
        <v>2026</v>
      </c>
      <c r="AG24">
        <v>2049</v>
      </c>
      <c r="AM24" t="s">
        <v>75</v>
      </c>
      <c r="AN24" t="s">
        <v>137</v>
      </c>
      <c r="AO24">
        <v>2019</v>
      </c>
      <c r="AP24">
        <v>2034</v>
      </c>
      <c r="AQ24">
        <v>2066</v>
      </c>
      <c r="AS24" s="2">
        <v>0.52504269999999997</v>
      </c>
      <c r="AT24" s="2">
        <v>1.4451324999999999</v>
      </c>
      <c r="AU24" s="2">
        <v>2.7629134999999998</v>
      </c>
    </row>
    <row r="25" spans="1:48" x14ac:dyDescent="0.2">
      <c r="A25" t="s">
        <v>179</v>
      </c>
      <c r="B25" t="s">
        <v>235</v>
      </c>
      <c r="C25">
        <v>2016</v>
      </c>
      <c r="D25">
        <v>2031</v>
      </c>
      <c r="E25">
        <v>2051</v>
      </c>
      <c r="F25">
        <v>2067</v>
      </c>
      <c r="G25" s="2">
        <v>0.45625948782276199</v>
      </c>
      <c r="H25" s="2">
        <v>0.70197696001481202</v>
      </c>
      <c r="I25" s="2">
        <v>2.0070241649878402</v>
      </c>
      <c r="J25" s="2">
        <v>3.2069946275303298</v>
      </c>
      <c r="K25" s="2">
        <v>0.48655366999999999</v>
      </c>
      <c r="L25" s="2">
        <v>0.69433429999999996</v>
      </c>
      <c r="M25" s="2">
        <v>2.0894370000000002</v>
      </c>
      <c r="N25" s="2">
        <v>3.1780202000000002</v>
      </c>
      <c r="R25" t="s">
        <v>120</v>
      </c>
      <c r="S25" t="s">
        <v>133</v>
      </c>
      <c r="T25">
        <v>2012</v>
      </c>
      <c r="U25">
        <v>2036</v>
      </c>
      <c r="X25" s="23">
        <v>0.26356427112833902</v>
      </c>
      <c r="Y25" s="23">
        <v>1.65339945881786</v>
      </c>
      <c r="AE25" t="s">
        <v>206</v>
      </c>
      <c r="AF25">
        <v>2012</v>
      </c>
      <c r="AG25">
        <v>2086</v>
      </c>
      <c r="AM25" t="s">
        <v>210</v>
      </c>
      <c r="AN25" t="s">
        <v>137</v>
      </c>
      <c r="AO25">
        <v>2037</v>
      </c>
      <c r="AP25">
        <v>2058</v>
      </c>
      <c r="AS25" s="2">
        <v>1.1631742689344899</v>
      </c>
      <c r="AT25" s="2">
        <v>1.61900668674048</v>
      </c>
      <c r="AU25" s="2"/>
    </row>
    <row r="26" spans="1:48" x14ac:dyDescent="0.2">
      <c r="A26" s="8" t="s">
        <v>153</v>
      </c>
      <c r="B26" t="s">
        <v>154</v>
      </c>
      <c r="C26">
        <v>2024</v>
      </c>
      <c r="D26" t="s">
        <v>241</v>
      </c>
      <c r="E26" t="s">
        <v>241</v>
      </c>
      <c r="F26" t="s">
        <v>241</v>
      </c>
      <c r="G26" s="2">
        <v>1.3653254416148299</v>
      </c>
      <c r="H26" s="2" t="s">
        <v>241</v>
      </c>
      <c r="I26" s="2" t="s">
        <v>241</v>
      </c>
      <c r="J26" s="2" t="s">
        <v>241</v>
      </c>
      <c r="K26" s="2">
        <v>1.0329398999999999</v>
      </c>
      <c r="L26" s="2" t="s">
        <v>241</v>
      </c>
      <c r="M26" s="2" t="s">
        <v>241</v>
      </c>
      <c r="N26" s="2" t="s">
        <v>241</v>
      </c>
      <c r="R26" t="s">
        <v>121</v>
      </c>
      <c r="S26" t="s">
        <v>133</v>
      </c>
      <c r="T26">
        <v>2022</v>
      </c>
      <c r="U26">
        <v>2027</v>
      </c>
      <c r="X26" s="23">
        <v>0.24246749877933901</v>
      </c>
      <c r="Y26" s="23">
        <v>0.97698444790303796</v>
      </c>
      <c r="AE26" t="s">
        <v>47</v>
      </c>
      <c r="AF26">
        <v>2020</v>
      </c>
      <c r="AG26">
        <v>2057</v>
      </c>
      <c r="AM26" t="s">
        <v>76</v>
      </c>
      <c r="AN26" t="s">
        <v>137</v>
      </c>
      <c r="AO26">
        <v>2056</v>
      </c>
      <c r="AP26">
        <v>2086</v>
      </c>
      <c r="AS26" s="2">
        <v>1.6532092765525299</v>
      </c>
      <c r="AT26" s="2">
        <v>2.1603128362584698</v>
      </c>
    </row>
    <row r="27" spans="1:48" x14ac:dyDescent="0.2">
      <c r="A27" s="17" t="s">
        <v>165</v>
      </c>
      <c r="B27" t="s">
        <v>166</v>
      </c>
      <c r="C27">
        <v>2029</v>
      </c>
      <c r="D27">
        <v>2044</v>
      </c>
      <c r="E27">
        <v>2079</v>
      </c>
      <c r="F27" t="s">
        <v>241</v>
      </c>
      <c r="G27" s="2">
        <v>1.28844432176343</v>
      </c>
      <c r="H27" s="2">
        <v>1.99852194768752</v>
      </c>
      <c r="I27" s="2">
        <v>2.8577991666382299</v>
      </c>
      <c r="J27" s="2" t="s">
        <v>241</v>
      </c>
      <c r="K27" s="2">
        <v>0.96591585999999996</v>
      </c>
      <c r="L27" s="2">
        <v>1.6673487</v>
      </c>
      <c r="M27" s="2">
        <v>2.4161831999999999</v>
      </c>
      <c r="N27" s="2" t="s">
        <v>241</v>
      </c>
      <c r="R27" t="s">
        <v>122</v>
      </c>
      <c r="S27" t="s">
        <v>132</v>
      </c>
      <c r="T27">
        <v>2031</v>
      </c>
      <c r="U27">
        <v>2031</v>
      </c>
      <c r="X27" s="23">
        <v>0.80631215971271497</v>
      </c>
      <c r="Y27" s="23">
        <v>0.70197696001481202</v>
      </c>
      <c r="AE27" t="s">
        <v>75</v>
      </c>
      <c r="AF27">
        <v>2019</v>
      </c>
      <c r="AG27">
        <v>2079</v>
      </c>
      <c r="AM27" t="s">
        <v>77</v>
      </c>
      <c r="AN27" t="s">
        <v>137</v>
      </c>
      <c r="AO27">
        <v>2047</v>
      </c>
      <c r="AP27">
        <v>2079</v>
      </c>
      <c r="AS27" s="2">
        <v>1.4766804064679699</v>
      </c>
      <c r="AT27" s="2">
        <v>1.9302608195684401</v>
      </c>
    </row>
    <row r="28" spans="1:48" x14ac:dyDescent="0.2">
      <c r="A28" s="18" t="s">
        <v>165</v>
      </c>
      <c r="B28" t="s">
        <v>228</v>
      </c>
      <c r="C28">
        <v>2029</v>
      </c>
      <c r="D28">
        <v>2044</v>
      </c>
      <c r="E28">
        <v>2079</v>
      </c>
      <c r="F28" t="s">
        <v>241</v>
      </c>
      <c r="G28" s="2">
        <v>1.28844432176343</v>
      </c>
      <c r="H28" s="2">
        <v>1.99852194768752</v>
      </c>
      <c r="I28" s="2">
        <v>2.8577991666382299</v>
      </c>
      <c r="J28" s="2" t="s">
        <v>241</v>
      </c>
      <c r="K28" s="2">
        <v>0.97880469999999997</v>
      </c>
      <c r="L28" s="2">
        <v>1.4296597</v>
      </c>
      <c r="M28" s="2">
        <v>2.5177238000000002</v>
      </c>
      <c r="N28" s="2" t="s">
        <v>241</v>
      </c>
      <c r="R28" t="s">
        <v>123</v>
      </c>
      <c r="S28" t="s">
        <v>132</v>
      </c>
      <c r="T28">
        <v>2014</v>
      </c>
      <c r="U28">
        <v>2038</v>
      </c>
      <c r="X28" s="23">
        <v>0.29994389569320301</v>
      </c>
      <c r="Y28" s="23">
        <v>0.89448763529455499</v>
      </c>
      <c r="AE28" t="s">
        <v>101</v>
      </c>
      <c r="AF28">
        <v>2019</v>
      </c>
      <c r="AG28">
        <v>2055</v>
      </c>
      <c r="AM28" t="s">
        <v>80</v>
      </c>
      <c r="AN28" t="s">
        <v>138</v>
      </c>
      <c r="AO28">
        <v>2033</v>
      </c>
      <c r="AP28">
        <v>2047</v>
      </c>
      <c r="AQ28">
        <v>2075</v>
      </c>
      <c r="AS28" s="2">
        <v>0.99175239911429003</v>
      </c>
      <c r="AT28" s="2">
        <v>2.0308371339899698</v>
      </c>
      <c r="AU28">
        <v>3.1576496725510599</v>
      </c>
    </row>
    <row r="29" spans="1:48" x14ac:dyDescent="0.2">
      <c r="A29" t="s">
        <v>177</v>
      </c>
      <c r="B29" t="s">
        <v>178</v>
      </c>
      <c r="C29">
        <v>2024</v>
      </c>
      <c r="D29">
        <v>2036</v>
      </c>
      <c r="E29">
        <v>2055</v>
      </c>
      <c r="F29">
        <v>2072</v>
      </c>
      <c r="G29" s="2">
        <v>1.2518766969956201</v>
      </c>
      <c r="H29" s="2">
        <v>1.65339945881786</v>
      </c>
      <c r="I29" s="2">
        <v>2.85472428786268</v>
      </c>
      <c r="J29" s="2">
        <v>4.2617375100454602</v>
      </c>
      <c r="K29" s="2">
        <v>0.97386439999999996</v>
      </c>
      <c r="L29" s="2">
        <v>1.3713690999999999</v>
      </c>
      <c r="M29" s="2">
        <v>2.4136199999999999</v>
      </c>
      <c r="N29" s="2">
        <v>3.6632657000000002</v>
      </c>
      <c r="R29" t="s">
        <v>193</v>
      </c>
      <c r="S29" t="s">
        <v>132</v>
      </c>
      <c r="T29">
        <v>2019</v>
      </c>
      <c r="U29">
        <v>2048</v>
      </c>
      <c r="X29" s="23">
        <v>0.32010671893003101</v>
      </c>
      <c r="Y29" s="23">
        <v>1.39141197204587</v>
      </c>
      <c r="AE29" t="s">
        <v>207</v>
      </c>
      <c r="AF29">
        <v>2043</v>
      </c>
      <c r="AM29" t="s">
        <v>83</v>
      </c>
      <c r="AN29" t="s">
        <v>138</v>
      </c>
      <c r="AO29">
        <v>2020</v>
      </c>
      <c r="AP29">
        <v>2033</v>
      </c>
      <c r="AQ29">
        <v>2058</v>
      </c>
      <c r="AR29">
        <v>2077</v>
      </c>
      <c r="AS29" s="2">
        <v>0.38601529090168102</v>
      </c>
      <c r="AT29" s="2">
        <v>1.1765928095117699</v>
      </c>
      <c r="AU29">
        <v>2.0447804772332998</v>
      </c>
      <c r="AV29">
        <v>3.34699536413342</v>
      </c>
    </row>
    <row r="30" spans="1:48" x14ac:dyDescent="0.2">
      <c r="A30" t="s">
        <v>177</v>
      </c>
      <c r="B30" t="s">
        <v>234</v>
      </c>
      <c r="C30">
        <v>2024</v>
      </c>
      <c r="D30">
        <v>2036</v>
      </c>
      <c r="E30">
        <v>2055</v>
      </c>
      <c r="F30">
        <v>2072</v>
      </c>
      <c r="G30" s="2">
        <v>1.2518766969956201</v>
      </c>
      <c r="H30" s="2">
        <v>1.65339945881786</v>
      </c>
      <c r="I30" s="2">
        <v>2.85472428786268</v>
      </c>
      <c r="J30" s="2">
        <v>4.2617375100454602</v>
      </c>
      <c r="K30" s="2">
        <v>0.98836630000000003</v>
      </c>
      <c r="L30" s="2">
        <v>1.2717835</v>
      </c>
      <c r="M30" s="2">
        <v>2.2678582999999999</v>
      </c>
      <c r="N30" s="2">
        <v>3.5443655999999999</v>
      </c>
      <c r="R30" t="s">
        <v>195</v>
      </c>
      <c r="S30" t="s">
        <v>132</v>
      </c>
      <c r="T30">
        <v>2020</v>
      </c>
      <c r="U30">
        <v>2050</v>
      </c>
      <c r="X30" s="23">
        <v>0.33111575072592803</v>
      </c>
      <c r="Y30" s="23">
        <v>1.1650189858895901</v>
      </c>
      <c r="AE30" t="s">
        <v>210</v>
      </c>
      <c r="AF30">
        <v>2037</v>
      </c>
      <c r="AM30" t="s">
        <v>85</v>
      </c>
      <c r="AN30" t="s">
        <v>138</v>
      </c>
      <c r="AO30">
        <v>2033</v>
      </c>
      <c r="AP30">
        <v>2046</v>
      </c>
      <c r="AQ30">
        <v>2067</v>
      </c>
      <c r="AR30">
        <v>2084</v>
      </c>
      <c r="AS30" s="2">
        <v>0.72322779682271798</v>
      </c>
      <c r="AT30" s="2">
        <v>1.2460704672045699</v>
      </c>
      <c r="AU30">
        <v>2.3489683580133098</v>
      </c>
      <c r="AV30">
        <v>3.5346176677093801</v>
      </c>
    </row>
    <row r="31" spans="1:48" x14ac:dyDescent="0.2">
      <c r="A31" s="9" t="s">
        <v>155</v>
      </c>
      <c r="B31" t="s">
        <v>156</v>
      </c>
      <c r="C31">
        <v>2023</v>
      </c>
      <c r="D31" t="s">
        <v>241</v>
      </c>
      <c r="E31" t="s">
        <v>241</v>
      </c>
      <c r="F31" t="s">
        <v>241</v>
      </c>
      <c r="G31" s="2">
        <v>0.56211865743001899</v>
      </c>
      <c r="H31" s="2" t="s">
        <v>241</v>
      </c>
      <c r="I31" s="2" t="s">
        <v>241</v>
      </c>
      <c r="J31" s="2" t="s">
        <v>241</v>
      </c>
      <c r="K31" s="2">
        <v>0.44223594999999999</v>
      </c>
      <c r="L31" s="2" t="s">
        <v>241</v>
      </c>
      <c r="M31" s="2" t="s">
        <v>241</v>
      </c>
      <c r="N31" s="2" t="s">
        <v>241</v>
      </c>
      <c r="R31" t="s">
        <v>124</v>
      </c>
      <c r="S31" t="s">
        <v>132</v>
      </c>
      <c r="T31">
        <v>2023</v>
      </c>
      <c r="U31">
        <v>2029</v>
      </c>
      <c r="X31" s="23">
        <v>1.2547776910347199</v>
      </c>
      <c r="Y31" s="23">
        <v>0.85248630903591305</v>
      </c>
      <c r="AE31" t="s">
        <v>221</v>
      </c>
      <c r="AF31">
        <v>2035</v>
      </c>
      <c r="AM31" t="s">
        <v>86</v>
      </c>
      <c r="AN31" t="s">
        <v>138</v>
      </c>
      <c r="AO31">
        <v>2014</v>
      </c>
      <c r="AP31">
        <v>2024</v>
      </c>
      <c r="AQ31">
        <v>2044</v>
      </c>
      <c r="AR31">
        <v>2060</v>
      </c>
      <c r="AS31" s="2">
        <v>0.37115174752692598</v>
      </c>
      <c r="AT31" s="2">
        <v>1.11234708715366</v>
      </c>
      <c r="AU31">
        <v>2.2924630200421401</v>
      </c>
      <c r="AV31">
        <v>3.8095987673158902</v>
      </c>
    </row>
    <row r="32" spans="1:48" x14ac:dyDescent="0.2">
      <c r="A32" s="10" t="s">
        <v>155</v>
      </c>
      <c r="B32" t="s">
        <v>224</v>
      </c>
      <c r="C32">
        <v>2023</v>
      </c>
      <c r="D32" t="s">
        <v>241</v>
      </c>
      <c r="E32" t="s">
        <v>241</v>
      </c>
      <c r="F32" t="s">
        <v>241</v>
      </c>
      <c r="G32" s="2">
        <v>0.56211865743001899</v>
      </c>
      <c r="H32" s="2" t="s">
        <v>241</v>
      </c>
      <c r="I32" s="2" t="s">
        <v>241</v>
      </c>
      <c r="J32" s="2" t="s">
        <v>241</v>
      </c>
      <c r="K32" s="2">
        <v>0.60457019999999995</v>
      </c>
      <c r="L32" s="2" t="s">
        <v>241</v>
      </c>
      <c r="M32" s="2" t="s">
        <v>241</v>
      </c>
      <c r="N32" s="2" t="s">
        <v>241</v>
      </c>
      <c r="R32" t="s">
        <v>198</v>
      </c>
      <c r="S32" t="s">
        <v>132</v>
      </c>
      <c r="T32">
        <v>2024</v>
      </c>
      <c r="U32">
        <v>2037</v>
      </c>
      <c r="X32" s="23">
        <v>1.2518766969956201</v>
      </c>
      <c r="Y32" s="23">
        <v>1.4150692127368201</v>
      </c>
      <c r="AE32" t="s">
        <v>76</v>
      </c>
      <c r="AF32">
        <v>2056</v>
      </c>
      <c r="AM32" t="s">
        <v>211</v>
      </c>
      <c r="AN32" t="s">
        <v>138</v>
      </c>
      <c r="AO32">
        <v>2023</v>
      </c>
      <c r="AP32">
        <v>2039</v>
      </c>
      <c r="AQ32">
        <v>2064</v>
      </c>
      <c r="AR32">
        <v>2085</v>
      </c>
      <c r="AS32" s="2">
        <v>1.12103330826484</v>
      </c>
      <c r="AT32" s="2">
        <v>1.8721865885007201</v>
      </c>
      <c r="AU32">
        <v>3.1559047580147599</v>
      </c>
      <c r="AV32">
        <v>4.2247408769433896</v>
      </c>
    </row>
    <row r="33" spans="1:48" x14ac:dyDescent="0.2">
      <c r="A33" s="11" t="s">
        <v>157</v>
      </c>
      <c r="B33" t="s">
        <v>158</v>
      </c>
      <c r="C33" t="s">
        <v>241</v>
      </c>
      <c r="D33" t="s">
        <v>241</v>
      </c>
      <c r="E33" t="s">
        <v>241</v>
      </c>
      <c r="F33" t="s">
        <v>241</v>
      </c>
      <c r="G33" s="2" t="s">
        <v>241</v>
      </c>
      <c r="H33" s="2" t="s">
        <v>241</v>
      </c>
      <c r="I33" s="2" t="s">
        <v>241</v>
      </c>
      <c r="J33" s="2" t="s">
        <v>241</v>
      </c>
      <c r="K33" s="2" t="s">
        <v>241</v>
      </c>
      <c r="L33" s="2" t="s">
        <v>241</v>
      </c>
      <c r="M33" s="2" t="s">
        <v>241</v>
      </c>
      <c r="N33" s="2" t="s">
        <v>241</v>
      </c>
      <c r="R33" t="s">
        <v>125</v>
      </c>
      <c r="S33" t="s">
        <v>132</v>
      </c>
      <c r="T33">
        <v>2011</v>
      </c>
      <c r="X33" s="23">
        <v>0.27716342078308198</v>
      </c>
      <c r="AE33" t="s">
        <v>102</v>
      </c>
      <c r="AF33">
        <v>2043</v>
      </c>
      <c r="AM33" t="s">
        <v>213</v>
      </c>
      <c r="AN33" t="s">
        <v>138</v>
      </c>
      <c r="AO33">
        <v>2012</v>
      </c>
      <c r="AP33">
        <v>2031</v>
      </c>
      <c r="AQ33">
        <v>2059</v>
      </c>
      <c r="AR33">
        <v>2080</v>
      </c>
      <c r="AS33" s="2">
        <v>0.27766570000000002</v>
      </c>
      <c r="AT33" s="2">
        <v>0.94915620000000001</v>
      </c>
      <c r="AU33">
        <v>1.9968735</v>
      </c>
      <c r="AV33">
        <v>3.2638579999999999</v>
      </c>
    </row>
    <row r="34" spans="1:48" x14ac:dyDescent="0.2">
      <c r="A34" t="s">
        <v>169</v>
      </c>
      <c r="B34" t="s">
        <v>170</v>
      </c>
      <c r="C34">
        <v>2023</v>
      </c>
      <c r="D34">
        <v>2045</v>
      </c>
      <c r="E34" t="s">
        <v>241</v>
      </c>
      <c r="F34" t="s">
        <v>241</v>
      </c>
      <c r="G34" s="2">
        <v>0.27052468193900803</v>
      </c>
      <c r="H34" s="2">
        <v>0.99868554009331101</v>
      </c>
      <c r="I34" s="2" t="s">
        <v>241</v>
      </c>
      <c r="J34" s="2" t="s">
        <v>241</v>
      </c>
      <c r="K34" s="2">
        <v>0.17434321</v>
      </c>
      <c r="L34" s="2">
        <v>0.79325056000000005</v>
      </c>
      <c r="M34" s="2" t="s">
        <v>241</v>
      </c>
      <c r="N34" s="2" t="s">
        <v>241</v>
      </c>
      <c r="R34" t="s">
        <v>200</v>
      </c>
      <c r="S34" t="s">
        <v>132</v>
      </c>
      <c r="T34">
        <v>2016</v>
      </c>
      <c r="X34" s="23">
        <v>0.45625948782276199</v>
      </c>
      <c r="AE34" t="s">
        <v>77</v>
      </c>
      <c r="AF34">
        <v>2047</v>
      </c>
      <c r="AM34" t="s">
        <v>90</v>
      </c>
      <c r="AN34" t="s">
        <v>138</v>
      </c>
      <c r="AO34">
        <v>2020</v>
      </c>
      <c r="AP34">
        <v>2035</v>
      </c>
      <c r="AQ34">
        <v>2056</v>
      </c>
      <c r="AR34">
        <v>2077</v>
      </c>
      <c r="AS34" s="2">
        <v>0.72077789999999997</v>
      </c>
      <c r="AT34" s="2">
        <v>1.3950653</v>
      </c>
      <c r="AU34">
        <v>2.3296342000000001</v>
      </c>
      <c r="AV34">
        <v>3.4568650000000001</v>
      </c>
    </row>
    <row r="35" spans="1:48" x14ac:dyDescent="0.2">
      <c r="A35" t="s">
        <v>169</v>
      </c>
      <c r="B35" t="s">
        <v>230</v>
      </c>
      <c r="C35">
        <v>2023</v>
      </c>
      <c r="D35">
        <v>2045</v>
      </c>
      <c r="E35" t="s">
        <v>241</v>
      </c>
      <c r="F35" t="s">
        <v>241</v>
      </c>
      <c r="G35" s="2">
        <v>0.27052468193900803</v>
      </c>
      <c r="H35" s="2">
        <v>0.99868554009331101</v>
      </c>
      <c r="I35" s="2" t="s">
        <v>241</v>
      </c>
      <c r="J35" s="2" t="s">
        <v>241</v>
      </c>
      <c r="K35" s="2">
        <v>0.26283157000000001</v>
      </c>
      <c r="L35" s="2">
        <v>1.0605827999999999</v>
      </c>
      <c r="M35" s="2" t="s">
        <v>241</v>
      </c>
      <c r="N35" s="2" t="s">
        <v>241</v>
      </c>
      <c r="R35" t="s">
        <v>201</v>
      </c>
      <c r="S35" t="s">
        <v>132</v>
      </c>
      <c r="T35">
        <v>2018</v>
      </c>
      <c r="X35" s="23">
        <v>0.28053309122718101</v>
      </c>
      <c r="AE35" t="s">
        <v>103</v>
      </c>
      <c r="AF35">
        <v>2040</v>
      </c>
      <c r="AM35" t="s">
        <v>214</v>
      </c>
      <c r="AN35" t="s">
        <v>138</v>
      </c>
      <c r="AO35">
        <v>2036</v>
      </c>
      <c r="AP35">
        <v>2053</v>
      </c>
      <c r="AQ35">
        <v>2079</v>
      </c>
      <c r="AS35" s="2">
        <v>1.03263401455353</v>
      </c>
      <c r="AT35" s="2">
        <v>1.7833052741157001</v>
      </c>
      <c r="AU35">
        <v>3.0094896104601001</v>
      </c>
    </row>
    <row r="36" spans="1:48" x14ac:dyDescent="0.2">
      <c r="A36" t="s">
        <v>181</v>
      </c>
      <c r="B36" t="s">
        <v>182</v>
      </c>
      <c r="C36">
        <v>2018</v>
      </c>
      <c r="D36">
        <v>2038</v>
      </c>
      <c r="E36">
        <v>2062</v>
      </c>
      <c r="F36">
        <v>2082</v>
      </c>
      <c r="G36" s="2">
        <v>0.28053309122718101</v>
      </c>
      <c r="H36" s="2">
        <v>0.89448763529455499</v>
      </c>
      <c r="I36" s="2">
        <v>2.13368631998694</v>
      </c>
      <c r="J36" s="2">
        <v>3.25464655558264</v>
      </c>
      <c r="K36" s="2">
        <v>0.29101974000000003</v>
      </c>
      <c r="L36" s="2">
        <v>0.7321299</v>
      </c>
      <c r="M36" s="2">
        <v>1.7708900999999999</v>
      </c>
      <c r="N36" s="2">
        <v>2.7940573999999998</v>
      </c>
      <c r="R36" t="s">
        <v>126</v>
      </c>
      <c r="S36" t="s">
        <v>132</v>
      </c>
      <c r="T36">
        <v>2034</v>
      </c>
      <c r="X36" s="23">
        <v>0.69072337680391005</v>
      </c>
      <c r="AM36" t="s">
        <v>92</v>
      </c>
      <c r="AN36" t="s">
        <v>138</v>
      </c>
      <c r="AO36">
        <v>2052</v>
      </c>
      <c r="AP36">
        <v>2070</v>
      </c>
      <c r="AS36" s="2">
        <v>1.47873513963486</v>
      </c>
      <c r="AT36" s="2">
        <v>2.1390993330213699</v>
      </c>
    </row>
    <row r="37" spans="1:48" x14ac:dyDescent="0.2">
      <c r="A37" t="s">
        <v>181</v>
      </c>
      <c r="B37" t="s">
        <v>236</v>
      </c>
      <c r="C37">
        <v>2018</v>
      </c>
      <c r="D37">
        <v>2038</v>
      </c>
      <c r="E37">
        <v>2062</v>
      </c>
      <c r="F37">
        <v>2082</v>
      </c>
      <c r="G37" s="2">
        <v>0.28053309122718101</v>
      </c>
      <c r="H37" s="2">
        <v>0.89448763529455499</v>
      </c>
      <c r="I37" s="2">
        <v>2.13368631998694</v>
      </c>
      <c r="J37" s="2">
        <v>3.25464655558264</v>
      </c>
      <c r="K37" s="2">
        <v>0.25983200000000001</v>
      </c>
      <c r="L37" s="2">
        <v>0.86645360000000005</v>
      </c>
      <c r="M37" s="2">
        <v>2.1349062999999999</v>
      </c>
      <c r="N37" s="2">
        <v>3.4961212000000002</v>
      </c>
      <c r="R37" t="s">
        <v>127</v>
      </c>
      <c r="S37" t="s">
        <v>132</v>
      </c>
      <c r="T37">
        <v>2033</v>
      </c>
      <c r="X37" s="23">
        <v>0.78084819934989003</v>
      </c>
      <c r="AM37" t="s">
        <v>93</v>
      </c>
      <c r="AN37" t="s">
        <v>138</v>
      </c>
      <c r="AO37">
        <v>2047</v>
      </c>
      <c r="AP37">
        <v>2063</v>
      </c>
      <c r="AQ37">
        <v>2091</v>
      </c>
      <c r="AS37" s="2">
        <v>1.3241218433558199</v>
      </c>
      <c r="AT37" s="2">
        <v>2.21944365083219</v>
      </c>
      <c r="AU37">
        <v>3.6687247613706999</v>
      </c>
    </row>
    <row r="38" spans="1:48" x14ac:dyDescent="0.2">
      <c r="R38" t="s">
        <v>128</v>
      </c>
      <c r="S38" t="s">
        <v>132</v>
      </c>
      <c r="T38">
        <v>2011</v>
      </c>
      <c r="X38" s="23">
        <v>0.19708605850399499</v>
      </c>
      <c r="AM38" t="s">
        <v>94</v>
      </c>
      <c r="AN38" t="s">
        <v>139</v>
      </c>
      <c r="AO38">
        <v>2031</v>
      </c>
      <c r="AP38">
        <v>2044</v>
      </c>
      <c r="AQ38">
        <v>2066</v>
      </c>
      <c r="AS38" s="2">
        <v>1.10620723221233</v>
      </c>
      <c r="AT38" s="2">
        <v>1.9836362436988699</v>
      </c>
      <c r="AU38">
        <v>3.30951525175441</v>
      </c>
    </row>
    <row r="39" spans="1:48" x14ac:dyDescent="0.2">
      <c r="R39" t="s">
        <v>129</v>
      </c>
      <c r="S39" t="s">
        <v>132</v>
      </c>
      <c r="T39">
        <v>2020</v>
      </c>
      <c r="X39" s="23">
        <v>0.25636699817790398</v>
      </c>
      <c r="AM39" t="s">
        <v>96</v>
      </c>
      <c r="AN39" t="s">
        <v>139</v>
      </c>
      <c r="AO39">
        <v>2019</v>
      </c>
      <c r="AP39">
        <v>2030</v>
      </c>
      <c r="AQ39">
        <v>2052</v>
      </c>
      <c r="AR39">
        <v>2067</v>
      </c>
      <c r="AS39" s="2">
        <v>0.70134988166900303</v>
      </c>
      <c r="AT39">
        <v>0.998950885644035</v>
      </c>
      <c r="AU39">
        <v>2.7606360962669898</v>
      </c>
      <c r="AV39">
        <v>3.5059260879304599</v>
      </c>
    </row>
    <row r="40" spans="1:48" x14ac:dyDescent="0.2">
      <c r="AM40" t="s">
        <v>97</v>
      </c>
      <c r="AN40" t="s">
        <v>139</v>
      </c>
      <c r="AO40">
        <v>2029</v>
      </c>
      <c r="AP40">
        <v>2041</v>
      </c>
      <c r="AQ40">
        <v>2059</v>
      </c>
      <c r="AR40">
        <v>2073</v>
      </c>
      <c r="AS40">
        <v>0.96419402225133399</v>
      </c>
      <c r="AT40">
        <v>1.3750644292338701</v>
      </c>
      <c r="AU40">
        <v>2.56942141305246</v>
      </c>
      <c r="AV40">
        <v>3.6274086208958898</v>
      </c>
    </row>
    <row r="41" spans="1:48" x14ac:dyDescent="0.2">
      <c r="AM41" t="s">
        <v>98</v>
      </c>
      <c r="AN41" t="s">
        <v>139</v>
      </c>
      <c r="AO41">
        <v>2013</v>
      </c>
      <c r="AP41">
        <v>2023</v>
      </c>
      <c r="AQ41">
        <v>2041</v>
      </c>
      <c r="AR41">
        <v>2055</v>
      </c>
      <c r="AS41">
        <v>0.40323407208475398</v>
      </c>
      <c r="AT41">
        <v>0.99704027529113504</v>
      </c>
      <c r="AU41">
        <v>2.3371529190628499</v>
      </c>
      <c r="AV41">
        <v>3.47663613778573</v>
      </c>
    </row>
    <row r="42" spans="1:48" x14ac:dyDescent="0.2">
      <c r="AM42" t="s">
        <v>216</v>
      </c>
      <c r="AN42" t="s">
        <v>139</v>
      </c>
      <c r="AO42">
        <v>2025</v>
      </c>
      <c r="AP42">
        <v>2036</v>
      </c>
      <c r="AQ42">
        <v>2058</v>
      </c>
      <c r="AR42">
        <v>2074</v>
      </c>
      <c r="AS42">
        <v>1.22589725809122</v>
      </c>
      <c r="AT42">
        <v>1.9896633895682401</v>
      </c>
      <c r="AU42">
        <v>3.1859601432453899</v>
      </c>
      <c r="AV42">
        <v>4.4512918120014202</v>
      </c>
    </row>
    <row r="43" spans="1:48" x14ac:dyDescent="0.2">
      <c r="AM43" t="s">
        <v>99</v>
      </c>
      <c r="AN43" t="s">
        <v>139</v>
      </c>
      <c r="AO43">
        <v>2030</v>
      </c>
      <c r="AP43">
        <v>2042</v>
      </c>
      <c r="AQ43">
        <v>2060</v>
      </c>
      <c r="AR43">
        <v>2080</v>
      </c>
      <c r="AS43">
        <v>1.14807129358736</v>
      </c>
      <c r="AT43">
        <v>1.92835522339452</v>
      </c>
      <c r="AU43">
        <v>3.00087035879264</v>
      </c>
      <c r="AV43">
        <v>4.4327790092828199</v>
      </c>
    </row>
    <row r="44" spans="1:48" x14ac:dyDescent="0.2">
      <c r="R44" s="1" t="s">
        <v>0</v>
      </c>
      <c r="S44" s="1"/>
      <c r="T44" s="20" t="s">
        <v>1</v>
      </c>
      <c r="U44" s="21"/>
      <c r="V44" s="21"/>
      <c r="W44" s="22"/>
      <c r="AM44" t="s">
        <v>100</v>
      </c>
      <c r="AN44" t="s">
        <v>139</v>
      </c>
      <c r="AO44">
        <v>2030</v>
      </c>
      <c r="AP44">
        <v>2042</v>
      </c>
      <c r="AQ44">
        <v>2060</v>
      </c>
      <c r="AR44">
        <v>2080</v>
      </c>
      <c r="AS44">
        <v>1.1304126238699299</v>
      </c>
      <c r="AT44">
        <v>1.9069431740552201</v>
      </c>
      <c r="AU44">
        <v>2.9731055991778002</v>
      </c>
      <c r="AV44">
        <v>4.3885902773160099</v>
      </c>
    </row>
    <row r="45" spans="1:48" x14ac:dyDescent="0.2">
      <c r="R45" s="1" t="s">
        <v>106</v>
      </c>
      <c r="S45" s="1" t="s">
        <v>130</v>
      </c>
      <c r="T45" s="1" t="s">
        <v>4</v>
      </c>
      <c r="U45" s="1" t="s">
        <v>5</v>
      </c>
      <c r="V45" s="1" t="s">
        <v>6</v>
      </c>
      <c r="W45" s="1" t="s">
        <v>7</v>
      </c>
      <c r="AM45" t="s">
        <v>217</v>
      </c>
      <c r="AN45" t="s">
        <v>139</v>
      </c>
      <c r="AO45">
        <v>2021</v>
      </c>
      <c r="AP45">
        <v>2031</v>
      </c>
      <c r="AQ45">
        <v>2048</v>
      </c>
      <c r="AR45">
        <v>2064</v>
      </c>
      <c r="AS45">
        <v>0.89503062277614998</v>
      </c>
      <c r="AT45">
        <v>1.4438244101794899</v>
      </c>
      <c r="AU45">
        <v>2.5547435427169698</v>
      </c>
      <c r="AV45">
        <v>3.7748969526302001</v>
      </c>
    </row>
    <row r="46" spans="1:48" x14ac:dyDescent="0.2">
      <c r="R46" t="s">
        <v>107</v>
      </c>
      <c r="S46" t="s">
        <v>131</v>
      </c>
      <c r="T46">
        <v>2044</v>
      </c>
      <c r="AM46" t="s">
        <v>218</v>
      </c>
      <c r="AN46" t="s">
        <v>139</v>
      </c>
      <c r="AO46">
        <v>2026</v>
      </c>
      <c r="AP46">
        <v>2035</v>
      </c>
      <c r="AQ46">
        <v>2050</v>
      </c>
      <c r="AR46">
        <v>2065</v>
      </c>
      <c r="AS46">
        <v>1.06866230118783</v>
      </c>
      <c r="AT46">
        <v>1.5759056509904801</v>
      </c>
      <c r="AU46">
        <v>2.7276095714778599</v>
      </c>
      <c r="AV46">
        <v>4.03220581000412</v>
      </c>
    </row>
    <row r="47" spans="1:48" x14ac:dyDescent="0.2">
      <c r="R47" t="s">
        <v>108</v>
      </c>
      <c r="S47" t="s">
        <v>131</v>
      </c>
      <c r="T47">
        <v>2014</v>
      </c>
      <c r="U47">
        <v>2034</v>
      </c>
      <c r="AM47" t="s">
        <v>101</v>
      </c>
      <c r="AN47" t="s">
        <v>139</v>
      </c>
      <c r="AO47">
        <v>2019</v>
      </c>
      <c r="AP47">
        <v>2035</v>
      </c>
      <c r="AQ47">
        <v>2051</v>
      </c>
      <c r="AR47">
        <v>2067</v>
      </c>
      <c r="AS47">
        <v>0.43056794999999998</v>
      </c>
      <c r="AT47">
        <v>1.2029984</v>
      </c>
      <c r="AU47">
        <v>2.6564833999999999</v>
      </c>
      <c r="AV47">
        <v>4.1262420000000004</v>
      </c>
    </row>
    <row r="48" spans="1:48" x14ac:dyDescent="0.2">
      <c r="R48" t="s">
        <v>183</v>
      </c>
      <c r="S48" t="s">
        <v>131</v>
      </c>
      <c r="T48">
        <v>2024</v>
      </c>
      <c r="AM48" t="s">
        <v>221</v>
      </c>
      <c r="AN48" t="s">
        <v>139</v>
      </c>
      <c r="AO48">
        <v>2035</v>
      </c>
      <c r="AP48">
        <v>2049</v>
      </c>
      <c r="AQ48">
        <v>2072</v>
      </c>
      <c r="AS48">
        <v>1.0042349073621399</v>
      </c>
      <c r="AT48">
        <v>1.2396501753064799</v>
      </c>
      <c r="AU48">
        <v>2.8472741021049801</v>
      </c>
    </row>
    <row r="49" spans="18:47" x14ac:dyDescent="0.2">
      <c r="R49" t="s">
        <v>184</v>
      </c>
      <c r="S49" t="s">
        <v>131</v>
      </c>
      <c r="T49">
        <v>2024</v>
      </c>
      <c r="AM49" t="s">
        <v>102</v>
      </c>
      <c r="AN49" t="s">
        <v>139</v>
      </c>
      <c r="AO49">
        <v>2043</v>
      </c>
      <c r="AP49">
        <v>2057</v>
      </c>
      <c r="AQ49">
        <v>2078</v>
      </c>
      <c r="AS49">
        <v>1.39116558498808</v>
      </c>
      <c r="AT49">
        <v>1.78786858452693</v>
      </c>
      <c r="AU49">
        <v>3.3017069074842902</v>
      </c>
    </row>
    <row r="50" spans="18:47" x14ac:dyDescent="0.2">
      <c r="R50" t="s">
        <v>109</v>
      </c>
      <c r="S50" t="s">
        <v>131</v>
      </c>
      <c r="T50">
        <v>2011</v>
      </c>
      <c r="U50">
        <v>2032</v>
      </c>
      <c r="AM50" t="s">
        <v>103</v>
      </c>
      <c r="AN50" t="s">
        <v>139</v>
      </c>
      <c r="AO50">
        <v>2040</v>
      </c>
      <c r="AP50">
        <v>2055</v>
      </c>
      <c r="AQ50">
        <v>2077</v>
      </c>
      <c r="AS50">
        <v>1.4563077935103701</v>
      </c>
      <c r="AT50">
        <v>2.0562198799908602</v>
      </c>
      <c r="AU50">
        <v>3.3375443506061302</v>
      </c>
    </row>
    <row r="51" spans="18:47" x14ac:dyDescent="0.2">
      <c r="R51" t="s">
        <v>110</v>
      </c>
      <c r="S51" t="s">
        <v>131</v>
      </c>
      <c r="T51">
        <v>2016</v>
      </c>
      <c r="U51">
        <v>2047</v>
      </c>
    </row>
    <row r="52" spans="18:47" x14ac:dyDescent="0.2">
      <c r="R52" t="s">
        <v>185</v>
      </c>
      <c r="S52" t="s">
        <v>131</v>
      </c>
      <c r="T52">
        <v>2023</v>
      </c>
    </row>
    <row r="53" spans="18:47" x14ac:dyDescent="0.2">
      <c r="R53" t="s">
        <v>186</v>
      </c>
      <c r="S53" t="s">
        <v>131</v>
      </c>
      <c r="T53">
        <v>2017</v>
      </c>
    </row>
    <row r="54" spans="18:47" x14ac:dyDescent="0.2">
      <c r="R54" t="s">
        <v>112</v>
      </c>
      <c r="S54" t="s">
        <v>131</v>
      </c>
      <c r="T54">
        <v>2085</v>
      </c>
    </row>
    <row r="55" spans="18:47" x14ac:dyDescent="0.2">
      <c r="R55" t="s">
        <v>113</v>
      </c>
      <c r="S55" t="s">
        <v>131</v>
      </c>
      <c r="T55">
        <v>2012</v>
      </c>
      <c r="U55">
        <v>2044</v>
      </c>
    </row>
    <row r="56" spans="18:47" x14ac:dyDescent="0.2">
      <c r="R56" t="s">
        <v>114</v>
      </c>
      <c r="S56" t="s">
        <v>131</v>
      </c>
      <c r="T56">
        <v>2023</v>
      </c>
    </row>
    <row r="57" spans="18:47" x14ac:dyDescent="0.2">
      <c r="R57" t="s">
        <v>115</v>
      </c>
      <c r="S57" t="s">
        <v>133</v>
      </c>
      <c r="T57">
        <v>2038</v>
      </c>
      <c r="U57">
        <v>2059</v>
      </c>
    </row>
    <row r="58" spans="18:47" x14ac:dyDescent="0.2">
      <c r="R58" t="s">
        <v>116</v>
      </c>
      <c r="S58" s="4" t="s">
        <v>133</v>
      </c>
      <c r="T58">
        <v>2018</v>
      </c>
      <c r="U58">
        <v>2032</v>
      </c>
    </row>
    <row r="59" spans="18:47" x14ac:dyDescent="0.2">
      <c r="R59" t="s">
        <v>188</v>
      </c>
      <c r="S59" s="4" t="s">
        <v>133</v>
      </c>
      <c r="T59">
        <v>2023</v>
      </c>
      <c r="U59">
        <v>2045</v>
      </c>
    </row>
    <row r="60" spans="18:47" x14ac:dyDescent="0.2">
      <c r="R60" t="s">
        <v>189</v>
      </c>
      <c r="S60" t="s">
        <v>133</v>
      </c>
      <c r="T60">
        <v>2023</v>
      </c>
      <c r="U60">
        <v>2045</v>
      </c>
    </row>
    <row r="61" spans="18:47" x14ac:dyDescent="0.2">
      <c r="R61" t="s">
        <v>190</v>
      </c>
      <c r="S61" t="s">
        <v>133</v>
      </c>
      <c r="T61">
        <v>2029</v>
      </c>
      <c r="U61">
        <v>2044</v>
      </c>
    </row>
    <row r="62" spans="18:47" x14ac:dyDescent="0.2">
      <c r="R62" t="s">
        <v>117</v>
      </c>
      <c r="S62" t="s">
        <v>133</v>
      </c>
      <c r="T62">
        <v>2014</v>
      </c>
      <c r="U62">
        <v>2031</v>
      </c>
    </row>
    <row r="63" spans="18:47" x14ac:dyDescent="0.2">
      <c r="R63" t="s">
        <v>191</v>
      </c>
      <c r="S63" t="s">
        <v>133</v>
      </c>
      <c r="T63">
        <v>2017</v>
      </c>
      <c r="U63">
        <v>2034</v>
      </c>
    </row>
    <row r="64" spans="18:47" x14ac:dyDescent="0.2">
      <c r="R64" t="s">
        <v>192</v>
      </c>
      <c r="S64" t="s">
        <v>133</v>
      </c>
      <c r="T64">
        <v>2023</v>
      </c>
      <c r="U64">
        <v>2045</v>
      </c>
    </row>
    <row r="65" spans="18:21" x14ac:dyDescent="0.2">
      <c r="R65" t="s">
        <v>118</v>
      </c>
      <c r="S65" t="s">
        <v>133</v>
      </c>
      <c r="T65">
        <v>2042</v>
      </c>
      <c r="U65">
        <v>2068</v>
      </c>
    </row>
    <row r="66" spans="18:21" x14ac:dyDescent="0.2">
      <c r="R66" t="s">
        <v>119</v>
      </c>
      <c r="S66" t="s">
        <v>133</v>
      </c>
      <c r="T66">
        <v>2040</v>
      </c>
      <c r="U66">
        <v>2074</v>
      </c>
    </row>
    <row r="67" spans="18:21" x14ac:dyDescent="0.2">
      <c r="R67" t="s">
        <v>120</v>
      </c>
      <c r="S67" t="s">
        <v>133</v>
      </c>
      <c r="T67">
        <v>2012</v>
      </c>
      <c r="U67">
        <v>2035</v>
      </c>
    </row>
    <row r="68" spans="18:21" x14ac:dyDescent="0.2">
      <c r="R68" t="s">
        <v>121</v>
      </c>
      <c r="S68" t="s">
        <v>133</v>
      </c>
      <c r="T68">
        <v>2022</v>
      </c>
      <c r="U68">
        <v>2044</v>
      </c>
    </row>
    <row r="69" spans="18:21" x14ac:dyDescent="0.2">
      <c r="R69" t="s">
        <v>122</v>
      </c>
      <c r="S69" t="s">
        <v>132</v>
      </c>
      <c r="T69">
        <v>2031</v>
      </c>
      <c r="U69">
        <v>2046</v>
      </c>
    </row>
    <row r="70" spans="18:21" x14ac:dyDescent="0.2">
      <c r="R70" t="s">
        <v>123</v>
      </c>
      <c r="S70" t="s">
        <v>132</v>
      </c>
      <c r="T70">
        <v>2014</v>
      </c>
      <c r="U70">
        <v>2027</v>
      </c>
    </row>
    <row r="71" spans="18:21" x14ac:dyDescent="0.2">
      <c r="R71" t="s">
        <v>193</v>
      </c>
      <c r="S71" t="s">
        <v>132</v>
      </c>
      <c r="T71">
        <v>2019</v>
      </c>
      <c r="U71">
        <v>2035</v>
      </c>
    </row>
    <row r="72" spans="18:21" x14ac:dyDescent="0.2">
      <c r="R72" t="s">
        <v>195</v>
      </c>
      <c r="S72" t="s">
        <v>132</v>
      </c>
      <c r="T72">
        <v>2020</v>
      </c>
      <c r="U72">
        <v>2036</v>
      </c>
    </row>
    <row r="73" spans="18:21" x14ac:dyDescent="0.2">
      <c r="R73" t="s">
        <v>124</v>
      </c>
      <c r="S73" t="s">
        <v>132</v>
      </c>
      <c r="T73">
        <v>2023</v>
      </c>
      <c r="U73">
        <v>2035</v>
      </c>
    </row>
    <row r="74" spans="18:21" x14ac:dyDescent="0.2">
      <c r="R74" t="s">
        <v>198</v>
      </c>
      <c r="S74" t="s">
        <v>132</v>
      </c>
      <c r="T74">
        <v>2024</v>
      </c>
      <c r="U74">
        <v>2036</v>
      </c>
    </row>
    <row r="75" spans="18:21" x14ac:dyDescent="0.2">
      <c r="R75" t="s">
        <v>125</v>
      </c>
      <c r="S75" t="s">
        <v>132</v>
      </c>
      <c r="T75">
        <v>2011</v>
      </c>
      <c r="U75">
        <v>2027</v>
      </c>
    </row>
    <row r="76" spans="18:21" x14ac:dyDescent="0.2">
      <c r="R76" t="s">
        <v>200</v>
      </c>
      <c r="S76" t="s">
        <v>132</v>
      </c>
      <c r="T76">
        <v>2016</v>
      </c>
      <c r="U76">
        <v>2031</v>
      </c>
    </row>
    <row r="77" spans="18:21" x14ac:dyDescent="0.2">
      <c r="R77" t="s">
        <v>201</v>
      </c>
      <c r="S77" t="s">
        <v>132</v>
      </c>
      <c r="T77">
        <v>2018</v>
      </c>
      <c r="U77">
        <v>2038</v>
      </c>
    </row>
    <row r="78" spans="18:21" x14ac:dyDescent="0.2">
      <c r="R78" t="s">
        <v>126</v>
      </c>
      <c r="S78" t="s">
        <v>132</v>
      </c>
      <c r="T78">
        <v>2034</v>
      </c>
      <c r="U78">
        <v>2048</v>
      </c>
    </row>
    <row r="79" spans="18:21" x14ac:dyDescent="0.2">
      <c r="R79" t="s">
        <v>127</v>
      </c>
      <c r="S79" t="s">
        <v>132</v>
      </c>
      <c r="T79">
        <v>2033</v>
      </c>
      <c r="U79">
        <v>2050</v>
      </c>
    </row>
    <row r="80" spans="18:21" x14ac:dyDescent="0.2">
      <c r="R80" t="s">
        <v>128</v>
      </c>
      <c r="S80" t="s">
        <v>132</v>
      </c>
      <c r="T80">
        <v>2011</v>
      </c>
      <c r="U80">
        <v>2029</v>
      </c>
    </row>
    <row r="81" spans="18:21" x14ac:dyDescent="0.2">
      <c r="R81" t="s">
        <v>129</v>
      </c>
      <c r="S81" t="s">
        <v>132</v>
      </c>
      <c r="T81">
        <v>2020</v>
      </c>
      <c r="U81">
        <v>2037</v>
      </c>
    </row>
    <row r="103" spans="39:44" x14ac:dyDescent="0.2">
      <c r="AM103" s="1" t="s">
        <v>0</v>
      </c>
      <c r="AN103" s="1"/>
      <c r="AO103" s="25" t="s">
        <v>1</v>
      </c>
      <c r="AP103" s="26"/>
      <c r="AQ103" s="26"/>
      <c r="AR103" s="27"/>
    </row>
    <row r="104" spans="39:44" x14ac:dyDescent="0.2">
      <c r="AM104" s="1" t="s">
        <v>3</v>
      </c>
      <c r="AN104" s="1" t="s">
        <v>134</v>
      </c>
      <c r="AO104" s="1" t="s">
        <v>4</v>
      </c>
      <c r="AP104" s="1" t="s">
        <v>5</v>
      </c>
      <c r="AQ104" s="1" t="s">
        <v>6</v>
      </c>
      <c r="AR104" s="1" t="s">
        <v>7</v>
      </c>
    </row>
    <row r="107" spans="39:44" x14ac:dyDescent="0.2">
      <c r="AM107" t="s">
        <v>24</v>
      </c>
      <c r="AN107" t="s">
        <v>136</v>
      </c>
      <c r="AO107">
        <v>2042</v>
      </c>
    </row>
    <row r="108" spans="39:44" x14ac:dyDescent="0.2">
      <c r="AM108" t="s">
        <v>32</v>
      </c>
      <c r="AN108" t="s">
        <v>136</v>
      </c>
      <c r="AO108">
        <v>2018</v>
      </c>
      <c r="AP108">
        <v>2031</v>
      </c>
    </row>
    <row r="109" spans="39:44" x14ac:dyDescent="0.2">
      <c r="AM109" t="s">
        <v>34</v>
      </c>
      <c r="AN109" t="s">
        <v>136</v>
      </c>
      <c r="AO109">
        <v>2028</v>
      </c>
      <c r="AP109">
        <v>2060</v>
      </c>
    </row>
    <row r="110" spans="39:44" x14ac:dyDescent="0.2">
      <c r="AM110" t="s">
        <v>37</v>
      </c>
      <c r="AN110" t="s">
        <v>136</v>
      </c>
      <c r="AO110">
        <v>2014</v>
      </c>
      <c r="AP110">
        <v>2027</v>
      </c>
    </row>
    <row r="111" spans="39:44" x14ac:dyDescent="0.2">
      <c r="AM111" t="s">
        <v>203</v>
      </c>
      <c r="AN111" t="s">
        <v>136</v>
      </c>
      <c r="AO111">
        <v>2023</v>
      </c>
      <c r="AP111">
        <v>2044</v>
      </c>
    </row>
    <row r="112" spans="39:44" x14ac:dyDescent="0.2">
      <c r="AM112" t="s">
        <v>204</v>
      </c>
      <c r="AN112" t="s">
        <v>136</v>
      </c>
      <c r="AO112">
        <v>2022</v>
      </c>
      <c r="AP112">
        <v>2038</v>
      </c>
    </row>
    <row r="113" spans="39:42" x14ac:dyDescent="0.2">
      <c r="AM113" t="s">
        <v>205</v>
      </c>
      <c r="AN113" t="s">
        <v>136</v>
      </c>
      <c r="AO113">
        <v>2029</v>
      </c>
      <c r="AP113">
        <v>2041</v>
      </c>
    </row>
    <row r="114" spans="39:42" x14ac:dyDescent="0.2">
      <c r="AM114" t="s">
        <v>206</v>
      </c>
      <c r="AN114" t="s">
        <v>136</v>
      </c>
      <c r="AO114">
        <v>2012</v>
      </c>
      <c r="AP114">
        <v>2030</v>
      </c>
    </row>
    <row r="115" spans="39:42" x14ac:dyDescent="0.2">
      <c r="AM115" t="s">
        <v>47</v>
      </c>
      <c r="AN115" t="s">
        <v>136</v>
      </c>
      <c r="AO115">
        <v>2020</v>
      </c>
      <c r="AP115">
        <v>2039</v>
      </c>
    </row>
    <row r="116" spans="39:42" x14ac:dyDescent="0.2">
      <c r="AM116" t="s">
        <v>207</v>
      </c>
      <c r="AN116" t="s">
        <v>136</v>
      </c>
      <c r="AO116">
        <v>2043</v>
      </c>
    </row>
    <row r="117" spans="39:42" x14ac:dyDescent="0.2">
      <c r="AM117" t="s">
        <v>51</v>
      </c>
      <c r="AN117" t="s">
        <v>137</v>
      </c>
      <c r="AO117">
        <v>2036</v>
      </c>
      <c r="AP117">
        <v>2058</v>
      </c>
    </row>
    <row r="118" spans="39:42" x14ac:dyDescent="0.2">
      <c r="AM118" t="s">
        <v>58</v>
      </c>
      <c r="AN118" t="s">
        <v>137</v>
      </c>
      <c r="AO118">
        <v>2020</v>
      </c>
      <c r="AP118">
        <v>2034</v>
      </c>
    </row>
    <row r="119" spans="39:42" x14ac:dyDescent="0.2">
      <c r="AM119" t="s">
        <v>60</v>
      </c>
      <c r="AN119" t="s">
        <v>137</v>
      </c>
      <c r="AO119">
        <v>2031</v>
      </c>
      <c r="AP119">
        <v>2049</v>
      </c>
    </row>
    <row r="120" spans="39:42" x14ac:dyDescent="0.2">
      <c r="AM120" t="s">
        <v>64</v>
      </c>
      <c r="AN120" t="s">
        <v>137</v>
      </c>
      <c r="AO120">
        <v>2014</v>
      </c>
      <c r="AP120">
        <v>2025</v>
      </c>
    </row>
    <row r="121" spans="39:42" x14ac:dyDescent="0.2">
      <c r="AM121" t="s">
        <v>208</v>
      </c>
      <c r="AN121" t="s">
        <v>137</v>
      </c>
      <c r="AO121">
        <v>2023</v>
      </c>
      <c r="AP121">
        <v>2045</v>
      </c>
    </row>
    <row r="122" spans="39:42" x14ac:dyDescent="0.2">
      <c r="AM122" t="s">
        <v>70</v>
      </c>
      <c r="AN122" t="s">
        <v>137</v>
      </c>
      <c r="AO122">
        <v>2032</v>
      </c>
      <c r="AP122">
        <v>2050</v>
      </c>
    </row>
    <row r="123" spans="39:42" x14ac:dyDescent="0.2">
      <c r="AM123" t="s">
        <v>71</v>
      </c>
      <c r="AN123" t="s">
        <v>137</v>
      </c>
      <c r="AO123">
        <v>2032</v>
      </c>
      <c r="AP123">
        <v>2050</v>
      </c>
    </row>
    <row r="124" spans="39:42" x14ac:dyDescent="0.2">
      <c r="AM124" t="s">
        <v>209</v>
      </c>
      <c r="AN124" t="s">
        <v>137</v>
      </c>
      <c r="AO124">
        <v>2020</v>
      </c>
      <c r="AP124">
        <v>2034</v>
      </c>
    </row>
    <row r="125" spans="39:42" x14ac:dyDescent="0.2">
      <c r="AM125" t="s">
        <v>75</v>
      </c>
      <c r="AN125" t="s">
        <v>137</v>
      </c>
      <c r="AO125">
        <v>2019</v>
      </c>
      <c r="AP125">
        <v>2034</v>
      </c>
    </row>
    <row r="126" spans="39:42" x14ac:dyDescent="0.2">
      <c r="AM126" t="s">
        <v>210</v>
      </c>
      <c r="AN126" t="s">
        <v>137</v>
      </c>
      <c r="AO126">
        <v>2037</v>
      </c>
      <c r="AP126">
        <v>2058</v>
      </c>
    </row>
    <row r="127" spans="39:42" x14ac:dyDescent="0.2">
      <c r="AM127" t="s">
        <v>76</v>
      </c>
      <c r="AN127" t="s">
        <v>137</v>
      </c>
      <c r="AO127">
        <v>2056</v>
      </c>
      <c r="AP127">
        <v>2086</v>
      </c>
    </row>
    <row r="128" spans="39:42" x14ac:dyDescent="0.2">
      <c r="AM128" t="s">
        <v>77</v>
      </c>
      <c r="AN128" t="s">
        <v>137</v>
      </c>
      <c r="AO128">
        <v>2047</v>
      </c>
      <c r="AP128">
        <v>2079</v>
      </c>
    </row>
    <row r="129" spans="39:42" x14ac:dyDescent="0.2">
      <c r="AM129" t="s">
        <v>80</v>
      </c>
      <c r="AN129" t="s">
        <v>138</v>
      </c>
      <c r="AO129">
        <v>2033</v>
      </c>
      <c r="AP129">
        <v>2047</v>
      </c>
    </row>
    <row r="130" spans="39:42" x14ac:dyDescent="0.2">
      <c r="AM130" t="s">
        <v>83</v>
      </c>
      <c r="AN130" t="s">
        <v>138</v>
      </c>
      <c r="AO130">
        <v>2020</v>
      </c>
      <c r="AP130">
        <v>2033</v>
      </c>
    </row>
    <row r="131" spans="39:42" x14ac:dyDescent="0.2">
      <c r="AM131" t="s">
        <v>85</v>
      </c>
      <c r="AN131" t="s">
        <v>138</v>
      </c>
      <c r="AO131">
        <v>2033</v>
      </c>
      <c r="AP131">
        <v>2046</v>
      </c>
    </row>
    <row r="132" spans="39:42" x14ac:dyDescent="0.2">
      <c r="AM132" t="s">
        <v>86</v>
      </c>
      <c r="AN132" t="s">
        <v>138</v>
      </c>
      <c r="AO132">
        <v>2014</v>
      </c>
      <c r="AP132">
        <v>2024</v>
      </c>
    </row>
    <row r="133" spans="39:42" x14ac:dyDescent="0.2">
      <c r="AM133" t="s">
        <v>211</v>
      </c>
      <c r="AN133" t="s">
        <v>138</v>
      </c>
      <c r="AO133">
        <v>2023</v>
      </c>
      <c r="AP133">
        <v>2039</v>
      </c>
    </row>
    <row r="134" spans="39:42" x14ac:dyDescent="0.2">
      <c r="AM134" t="s">
        <v>213</v>
      </c>
      <c r="AN134" t="s">
        <v>138</v>
      </c>
      <c r="AO134">
        <v>2012</v>
      </c>
      <c r="AP134">
        <v>2031</v>
      </c>
    </row>
    <row r="135" spans="39:42" x14ac:dyDescent="0.2">
      <c r="AM135" t="s">
        <v>90</v>
      </c>
      <c r="AN135" t="s">
        <v>138</v>
      </c>
      <c r="AO135">
        <v>2020</v>
      </c>
      <c r="AP135">
        <v>2035</v>
      </c>
    </row>
    <row r="136" spans="39:42" x14ac:dyDescent="0.2">
      <c r="AM136" t="s">
        <v>214</v>
      </c>
      <c r="AN136" t="s">
        <v>138</v>
      </c>
      <c r="AO136">
        <v>2036</v>
      </c>
      <c r="AP136">
        <v>2053</v>
      </c>
    </row>
    <row r="137" spans="39:42" x14ac:dyDescent="0.2">
      <c r="AM137" t="s">
        <v>92</v>
      </c>
      <c r="AN137" t="s">
        <v>138</v>
      </c>
      <c r="AO137">
        <v>2052</v>
      </c>
      <c r="AP137">
        <v>2070</v>
      </c>
    </row>
    <row r="138" spans="39:42" x14ac:dyDescent="0.2">
      <c r="AM138" t="s">
        <v>93</v>
      </c>
      <c r="AN138" t="s">
        <v>138</v>
      </c>
      <c r="AO138">
        <v>2047</v>
      </c>
      <c r="AP138">
        <v>2063</v>
      </c>
    </row>
    <row r="139" spans="39:42" x14ac:dyDescent="0.2">
      <c r="AM139" t="s">
        <v>94</v>
      </c>
      <c r="AN139" t="s">
        <v>139</v>
      </c>
      <c r="AO139">
        <v>2031</v>
      </c>
      <c r="AP139">
        <v>2044</v>
      </c>
    </row>
    <row r="140" spans="39:42" x14ac:dyDescent="0.2">
      <c r="AM140" t="s">
        <v>96</v>
      </c>
      <c r="AN140" t="s">
        <v>139</v>
      </c>
      <c r="AO140">
        <v>2019</v>
      </c>
      <c r="AP140">
        <v>2030</v>
      </c>
    </row>
    <row r="141" spans="39:42" x14ac:dyDescent="0.2">
      <c r="AM141" t="s">
        <v>97</v>
      </c>
      <c r="AN141" t="s">
        <v>139</v>
      </c>
      <c r="AO141">
        <v>2029</v>
      </c>
      <c r="AP141">
        <v>2041</v>
      </c>
    </row>
    <row r="142" spans="39:42" x14ac:dyDescent="0.2">
      <c r="AM142" t="s">
        <v>98</v>
      </c>
      <c r="AN142" t="s">
        <v>139</v>
      </c>
      <c r="AO142">
        <v>2013</v>
      </c>
      <c r="AP142">
        <v>2023</v>
      </c>
    </row>
    <row r="143" spans="39:42" x14ac:dyDescent="0.2">
      <c r="AM143" t="s">
        <v>216</v>
      </c>
      <c r="AN143" t="s">
        <v>139</v>
      </c>
      <c r="AO143">
        <v>2025</v>
      </c>
      <c r="AP143">
        <v>2036</v>
      </c>
    </row>
    <row r="144" spans="39:42" x14ac:dyDescent="0.2">
      <c r="AM144" t="s">
        <v>99</v>
      </c>
      <c r="AN144" t="s">
        <v>139</v>
      </c>
      <c r="AO144">
        <v>2030</v>
      </c>
      <c r="AP144">
        <v>2042</v>
      </c>
    </row>
    <row r="145" spans="39:42" x14ac:dyDescent="0.2">
      <c r="AM145" t="s">
        <v>100</v>
      </c>
      <c r="AN145" t="s">
        <v>139</v>
      </c>
      <c r="AO145">
        <v>2030</v>
      </c>
      <c r="AP145">
        <v>2042</v>
      </c>
    </row>
    <row r="146" spans="39:42" x14ac:dyDescent="0.2">
      <c r="AM146" t="s">
        <v>217</v>
      </c>
      <c r="AN146" t="s">
        <v>139</v>
      </c>
      <c r="AO146">
        <v>2021</v>
      </c>
      <c r="AP146">
        <v>2031</v>
      </c>
    </row>
    <row r="147" spans="39:42" x14ac:dyDescent="0.2">
      <c r="AM147" t="s">
        <v>218</v>
      </c>
      <c r="AN147" t="s">
        <v>139</v>
      </c>
      <c r="AO147">
        <v>2026</v>
      </c>
      <c r="AP147">
        <v>2035</v>
      </c>
    </row>
    <row r="148" spans="39:42" x14ac:dyDescent="0.2">
      <c r="AM148" t="s">
        <v>101</v>
      </c>
      <c r="AN148" t="s">
        <v>139</v>
      </c>
      <c r="AO148">
        <v>2019</v>
      </c>
      <c r="AP148">
        <v>2035</v>
      </c>
    </row>
    <row r="149" spans="39:42" x14ac:dyDescent="0.2">
      <c r="AM149" t="s">
        <v>221</v>
      </c>
      <c r="AN149" t="s">
        <v>139</v>
      </c>
      <c r="AO149">
        <v>2035</v>
      </c>
      <c r="AP149">
        <v>2049</v>
      </c>
    </row>
    <row r="150" spans="39:42" x14ac:dyDescent="0.2">
      <c r="AM150" t="s">
        <v>102</v>
      </c>
      <c r="AN150" t="s">
        <v>139</v>
      </c>
      <c r="AO150">
        <v>2043</v>
      </c>
      <c r="AP150">
        <v>2057</v>
      </c>
    </row>
    <row r="151" spans="39:42" x14ac:dyDescent="0.2">
      <c r="AM151" t="s">
        <v>103</v>
      </c>
      <c r="AN151" t="s">
        <v>139</v>
      </c>
      <c r="AO151">
        <v>2040</v>
      </c>
      <c r="AP151">
        <v>2055</v>
      </c>
    </row>
  </sheetData>
  <sortState xmlns:xlrd2="http://schemas.microsoft.com/office/spreadsheetml/2017/richdata2" ref="A4:N37">
    <sortCondition ref="B4:B37"/>
  </sortState>
  <mergeCells count="12">
    <mergeCell ref="T2:W2"/>
    <mergeCell ref="X2:AA2"/>
    <mergeCell ref="AF2:AI2"/>
    <mergeCell ref="A2:B2"/>
    <mergeCell ref="C2:F2"/>
    <mergeCell ref="G2:J2"/>
    <mergeCell ref="K2:N2"/>
    <mergeCell ref="AO103:AR103"/>
    <mergeCell ref="AO2:AR2"/>
    <mergeCell ref="AS2:AV2"/>
    <mergeCell ref="AW2:AZ2"/>
    <mergeCell ref="BA2:BD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4</vt:i4>
      </vt:variant>
    </vt:vector>
  </HeadingPairs>
  <TitlesOfParts>
    <vt:vector size="8" baseType="lpstr">
      <vt:lpstr>CMIP6_sel</vt:lpstr>
      <vt:lpstr>CMIP5_sel</vt:lpstr>
      <vt:lpstr>CMIP6_sel_timing</vt:lpstr>
      <vt:lpstr>clean_data_table</vt:lpstr>
      <vt:lpstr>gwl_date</vt:lpstr>
      <vt:lpstr>gwl_rcps</vt:lpstr>
      <vt:lpstr>gwl_ssps</vt:lpstr>
      <vt:lpstr>gwl_ccs_AUT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2023-05-11T13:45:49Z</dcterms:created>
  <dcterms:modified xsi:type="dcterms:W3CDTF">2023-11-30T12:15:17Z</dcterms:modified>
</cp:coreProperties>
</file>