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ecsi/Desktop/Arbeit/Qgis/data/AAR2/GWLs/"/>
    </mc:Choice>
  </mc:AlternateContent>
  <xr:revisionPtr revIDLastSave="0" documentId="13_ncr:1_{38A67BFB-BBB6-1B4F-8E88-1AB5C799DCEE}" xr6:coauthVersionLast="47" xr6:coauthVersionMax="47" xr10:uidLastSave="{00000000-0000-0000-0000-000000000000}"/>
  <bookViews>
    <workbookView xWindow="0" yWindow="500" windowWidth="38400" windowHeight="22120" activeTab="7" xr2:uid="{3205E47B-5EE3-6F45-A00E-09C2AA1423A5}"/>
  </bookViews>
  <sheets>
    <sheet name="CMIP6_sel" sheetId="4" r:id="rId1"/>
    <sheet name="CMIP5_sel" sheetId="5" r:id="rId2"/>
    <sheet name="CMIP6_sel_timing" sheetId="6" r:id="rId3"/>
    <sheet name="clean_data_table" sheetId="13" r:id="rId4"/>
    <sheet name="gwl_date" sheetId="9" r:id="rId5"/>
    <sheet name="gwl_rcps" sheetId="10" r:id="rId6"/>
    <sheet name="gwl_ssps" sheetId="11" r:id="rId7"/>
    <sheet name="gwl_ccs_AUT" sheetId="12" r:id="rId8"/>
  </sheets>
  <externalReferences>
    <externalReference r:id="rId9"/>
    <externalReference r:id="rId10"/>
  </externalReferences>
  <definedNames>
    <definedName name="_xlchart.v1.0" hidden="1">CMIP5_sel!$C$3:$C$25</definedName>
    <definedName name="_xlchart.v1.1" hidden="1">CMIP5_sel!$D$3:$D$25</definedName>
    <definedName name="_xlchart.v1.10" hidden="1">[1]Tabelle2!$E$3:$E$33</definedName>
    <definedName name="_xlchart.v1.100" hidden="1">CMIP5_sel!$M$3:$M$25</definedName>
    <definedName name="_xlchart.v1.101" hidden="1">CMIP5_sel!$N$3:$N$25</definedName>
    <definedName name="_xlchart.v1.102" hidden="1">CMIP6_sel!$K$3:$K$40</definedName>
    <definedName name="_xlchart.v1.103" hidden="1">CMIP6_sel!$L$3:$L$40</definedName>
    <definedName name="_xlchart.v1.104" hidden="1">CMIP6_sel!$M$3:$M$40</definedName>
    <definedName name="_xlchart.v1.105" hidden="1">CMIP6_sel!$N$3:$N$40</definedName>
    <definedName name="_xlchart.v1.106" hidden="1">clean_data_table!$AA$4:$AA$8</definedName>
    <definedName name="_xlchart.v1.107" hidden="1">clean_data_table!$AS$4:$AS$39</definedName>
    <definedName name="_xlchart.v1.108" hidden="1">clean_data_table!$AT$4:$AT$38</definedName>
    <definedName name="_xlchart.v1.109" hidden="1">clean_data_table!$AU$4:$AU$25</definedName>
    <definedName name="_xlchart.v1.11" hidden="1">[1]Tabelle2!$F$3:$F$33</definedName>
    <definedName name="_xlchart.v1.110" hidden="1">clean_data_table!$AV$4:$AV$17</definedName>
    <definedName name="_xlchart.v1.111" hidden="1">clean_data_table!$X$4:$X$25</definedName>
    <definedName name="_xlchart.v1.112" hidden="1">clean_data_table!$Y$4:$Y$22</definedName>
    <definedName name="_xlchart.v1.113" hidden="1">clean_data_table!$Z$4:$Z$13</definedName>
    <definedName name="_xlchart.v1.12" hidden="1">CMIP5_sel!$C$3:$C$25</definedName>
    <definedName name="_xlchart.v1.13" hidden="1">CMIP5_sel!$D$3:$D$25</definedName>
    <definedName name="_xlchart.v1.14" hidden="1">CMIP5_sel!$E$3:$E$25</definedName>
    <definedName name="_xlchart.v1.15" hidden="1">CMIP5_sel!$F$3:$F$25</definedName>
    <definedName name="_xlchart.v1.16" hidden="1">CMIP6_sel_timing!$B$3:$B$28</definedName>
    <definedName name="_xlchart.v1.17" hidden="1">CMIP6_sel_timing!$C$3:$C$28</definedName>
    <definedName name="_xlchart.v1.18" hidden="1">CMIP6_sel_timing!$D$3:$D$28</definedName>
    <definedName name="_xlchart.v1.19" hidden="1">CMIP6_sel_timing!$E$3:$E$28</definedName>
    <definedName name="_xlchart.v1.2" hidden="1">CMIP5_sel!$E$3:$E$25</definedName>
    <definedName name="_xlchart.v1.20" hidden="1">[1]Tabelle2!$C$3:$C$33</definedName>
    <definedName name="_xlchart.v1.21" hidden="1">[1]Tabelle2!$D$3:$D$33</definedName>
    <definedName name="_xlchart.v1.22" hidden="1">[1]Tabelle2!$E$3:$E$33</definedName>
    <definedName name="_xlchart.v1.23" hidden="1">[1]Tabelle2!$F$3:$F$33</definedName>
    <definedName name="_xlchart.v1.24" hidden="1">clean_data_table!$AF$4:$AF$27</definedName>
    <definedName name="_xlchart.v1.25" hidden="1">clean_data_table!$AG$4:$AG$24</definedName>
    <definedName name="_xlchart.v1.26" hidden="1">clean_data_table!$AH$4:$AH$16</definedName>
    <definedName name="_xlchart.v1.27" hidden="1">clean_data_table!$AI$4:$AI$10</definedName>
    <definedName name="_xlchart.v1.28" hidden="1">clean_data_table!$B$4:$B$20</definedName>
    <definedName name="_xlchart.v1.29" hidden="1">clean_data_table!$C$4:$C$19</definedName>
    <definedName name="_xlchart.v1.3" hidden="1">CMIP5_sel!$F$3:$F$25</definedName>
    <definedName name="_xlchart.v1.30" hidden="1">clean_data_table!$D$8:$D$19</definedName>
    <definedName name="_xlchart.v1.31" hidden="1">clean_data_table!$E$11:$E$18</definedName>
    <definedName name="_xlchart.v1.32" hidden="1">clean_data_table!$F$4:$F$8</definedName>
    <definedName name="_xlchart.v1.33" hidden="1">clean_data_table!$T$4:$T$25</definedName>
    <definedName name="_xlchart.v1.34" hidden="1">clean_data_table!$U$4:$U$22</definedName>
    <definedName name="_xlchart.v1.35" hidden="1">clean_data_table!$V$4:$V$13</definedName>
    <definedName name="_xlchart.v1.36" hidden="1">clean_data_table!$W$4:$W$9</definedName>
    <definedName name="_xlchart.v1.37" hidden="1">[2]Tabelle2!$F$33:$F$42</definedName>
    <definedName name="_xlchart.v1.38" hidden="1">CMIP5_sel!$C$11:$C$17</definedName>
    <definedName name="_xlchart.v1.39" hidden="1">CMIP5_sel!$C$18:$C$25</definedName>
    <definedName name="_xlchart.v1.4" hidden="1">CMIP6_sel_timing!$B$3:$B$28</definedName>
    <definedName name="_xlchart.v1.40" hidden="1">CMIP5_sel!$C$3:$C$10</definedName>
    <definedName name="_xlchart.v1.41" hidden="1">CMIP5_sel!$D$11:$D$17</definedName>
    <definedName name="_xlchart.v1.42" hidden="1">CMIP5_sel!$D$18:$D$25</definedName>
    <definedName name="_xlchart.v1.43" hidden="1">CMIP5_sel!$D$3:$D$10</definedName>
    <definedName name="_xlchart.v1.44" hidden="1">clean_data_table!$T$35:$T$41</definedName>
    <definedName name="_xlchart.v1.45" hidden="1">clean_data_table!$T$42:$T$48</definedName>
    <definedName name="_xlchart.v1.46" hidden="1">clean_data_table!$T$49:$T$56</definedName>
    <definedName name="_xlchart.v1.47" hidden="1">clean_data_table!$U$36:$U$39</definedName>
    <definedName name="_xlchart.v1.48" hidden="1">clean_data_table!$U$42:$U$48</definedName>
    <definedName name="_xlchart.v1.49" hidden="1">clean_data_table!$U$49:$U$56</definedName>
    <definedName name="_xlchart.v1.5" hidden="1">CMIP6_sel_timing!$C$3:$C$28</definedName>
    <definedName name="_xlchart.v1.50" hidden="1">CMIP6_sel!$C$13:$C$22</definedName>
    <definedName name="_xlchart.v1.51" hidden="1">CMIP6_sel!$C$23:$C$30</definedName>
    <definedName name="_xlchart.v1.52" hidden="1">CMIP6_sel!$C$31:$C$40</definedName>
    <definedName name="_xlchart.v1.53" hidden="1">CMIP6_sel!$C$5:$C$12</definedName>
    <definedName name="_xlchart.v1.54" hidden="1">CMIP6_sel!$D$13:$D$22</definedName>
    <definedName name="_xlchart.v1.55" hidden="1">CMIP6_sel!$D$23:$D$30</definedName>
    <definedName name="_xlchart.v1.56" hidden="1">CMIP6_sel!$D$31:$D$40</definedName>
    <definedName name="_xlchart.v1.57" hidden="1">CMIP6_sel!$D$5:$D$12</definedName>
    <definedName name="_xlchart.v1.58" hidden="1">clean_data_table!$AO$50:$AO$55</definedName>
    <definedName name="_xlchart.v1.59" hidden="1">clean_data_table!$AO$58:$AO$67</definedName>
    <definedName name="_xlchart.v1.6" hidden="1">CMIP6_sel_timing!$D$3:$D$28</definedName>
    <definedName name="_xlchart.v1.60" hidden="1">clean_data_table!$AO$68:$AO$75</definedName>
    <definedName name="_xlchart.v1.61" hidden="1">clean_data_table!$AO$76:$AO$85</definedName>
    <definedName name="_xlchart.v1.62" hidden="1">clean_data_table!$AP$51:$AP$55</definedName>
    <definedName name="_xlchart.v1.63" hidden="1">clean_data_table!$AP$58:$AP$67</definedName>
    <definedName name="_xlchart.v1.64" hidden="1">clean_data_table!$AP$68:$AP$75</definedName>
    <definedName name="_xlchart.v1.65" hidden="1">clean_data_table!$AP$76:$AP$85</definedName>
    <definedName name="_xlchart.v1.66" hidden="1">CMIP6_sel!$C$13:$C$22</definedName>
    <definedName name="_xlchart.v1.67" hidden="1">CMIP6_sel!$C$23:$C$30</definedName>
    <definedName name="_xlchart.v1.68" hidden="1">CMIP6_sel!$C$31:$C$40</definedName>
    <definedName name="_xlchart.v1.69" hidden="1">CMIP6_sel!$C$5:$C$12</definedName>
    <definedName name="_xlchart.v1.7" hidden="1">CMIP6_sel_timing!$E$3:$E$28</definedName>
    <definedName name="_xlchart.v1.70" hidden="1">CMIP6_sel!$D$13:$D$22</definedName>
    <definedName name="_xlchart.v1.71" hidden="1">CMIP6_sel!$D$23:$D$30</definedName>
    <definedName name="_xlchart.v1.72" hidden="1">CMIP6_sel!$D$31:$D$40</definedName>
    <definedName name="_xlchart.v1.73" hidden="1">CMIP6_sel!$D$5:$D$12</definedName>
    <definedName name="_xlchart.v1.74" hidden="1">clean_data_table!$AO$50:$AO$55</definedName>
    <definedName name="_xlchart.v1.75" hidden="1">clean_data_table!$AO$58:$AO$67</definedName>
    <definedName name="_xlchart.v1.76" hidden="1">clean_data_table!$AO$68:$AO$75</definedName>
    <definedName name="_xlchart.v1.77" hidden="1">clean_data_table!$AO$76:$AO$85</definedName>
    <definedName name="_xlchart.v1.78" hidden="1">clean_data_table!$AP$51:$AP$55</definedName>
    <definedName name="_xlchart.v1.79" hidden="1">clean_data_table!$AP$58:$AP$67</definedName>
    <definedName name="_xlchart.v1.8" hidden="1">[1]Tabelle2!$C$3:$C$33</definedName>
    <definedName name="_xlchart.v1.80" hidden="1">clean_data_table!$AP$68:$AP$75</definedName>
    <definedName name="_xlchart.v1.81" hidden="1">clean_data_table!$AP$76:$AP$85</definedName>
    <definedName name="_xlchart.v1.82" hidden="1">CMIP5_sel!$K$3:$K$25</definedName>
    <definedName name="_xlchart.v1.83" hidden="1">CMIP5_sel!$L$3:$L$25</definedName>
    <definedName name="_xlchart.v1.84" hidden="1">CMIP5_sel!$M$3:$M$25</definedName>
    <definedName name="_xlchart.v1.85" hidden="1">CMIP5_sel!$N$3:$N$25</definedName>
    <definedName name="_xlchart.v1.86" hidden="1">CMIP6_sel!$K$3:$K$40</definedName>
    <definedName name="_xlchart.v1.87" hidden="1">CMIP6_sel!$L$3:$L$40</definedName>
    <definedName name="_xlchart.v1.88" hidden="1">CMIP6_sel!$M$3:$M$40</definedName>
    <definedName name="_xlchart.v1.89" hidden="1">CMIP6_sel!$N$3:$N$40</definedName>
    <definedName name="_xlchart.v1.9" hidden="1">[1]Tabelle2!$D$3:$D$33</definedName>
    <definedName name="_xlchart.v1.90" hidden="1">clean_data_table!$AA$4:$AA$8</definedName>
    <definedName name="_xlchart.v1.91" hidden="1">clean_data_table!$AS$4:$AS$39</definedName>
    <definedName name="_xlchart.v1.92" hidden="1">clean_data_table!$AT$4:$AT$38</definedName>
    <definedName name="_xlchart.v1.93" hidden="1">clean_data_table!$AU$4:$AU$25</definedName>
    <definedName name="_xlchart.v1.94" hidden="1">clean_data_table!$AV$4:$AV$17</definedName>
    <definedName name="_xlchart.v1.95" hidden="1">clean_data_table!$X$4:$X$25</definedName>
    <definedName name="_xlchart.v1.96" hidden="1">clean_data_table!$Y$4:$Y$22</definedName>
    <definedName name="_xlchart.v1.97" hidden="1">clean_data_table!$Z$4:$Z$13</definedName>
    <definedName name="_xlchart.v1.98" hidden="1">CMIP5_sel!$K$3:$K$25</definedName>
    <definedName name="_xlchart.v1.99" hidden="1">CMIP5_sel!$L$3:$L$25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8" i="13" l="1"/>
  <c r="BD8" i="13" s="1"/>
  <c r="AY8" i="13"/>
  <c r="BC8" i="13" s="1"/>
  <c r="AX8" i="13"/>
  <c r="BB8" i="13" s="1"/>
  <c r="AW8" i="13"/>
  <c r="BA8" i="13" s="1"/>
  <c r="AZ7" i="13"/>
  <c r="BD7" i="13" s="1"/>
  <c r="AY7" i="13"/>
  <c r="BC7" i="13" s="1"/>
  <c r="AX7" i="13"/>
  <c r="BB7" i="13" s="1"/>
  <c r="AW7" i="13"/>
  <c r="BA7" i="13" s="1"/>
  <c r="AZ6" i="13"/>
  <c r="BD6" i="13" s="1"/>
  <c r="AY6" i="13"/>
  <c r="BC6" i="13" s="1"/>
  <c r="AX6" i="13"/>
  <c r="BB6" i="13" s="1"/>
  <c r="AW6" i="13"/>
  <c r="BA6" i="13" s="1"/>
  <c r="AZ5" i="13"/>
  <c r="BD5" i="13" s="1"/>
  <c r="AY5" i="13"/>
  <c r="BC5" i="13" s="1"/>
  <c r="AX5" i="13"/>
  <c r="BB5" i="13" s="1"/>
  <c r="AW5" i="13"/>
  <c r="BA5" i="13" s="1"/>
  <c r="AZ4" i="13"/>
  <c r="BD4" i="13" s="1"/>
  <c r="AY4" i="13"/>
  <c r="BC4" i="13" s="1"/>
  <c r="AX4" i="13"/>
  <c r="BB4" i="13" s="1"/>
  <c r="AW4" i="13"/>
  <c r="BA4" i="13" s="1"/>
  <c r="V7" i="4"/>
  <c r="U7" i="4"/>
  <c r="T7" i="4"/>
  <c r="S7" i="4"/>
  <c r="S6" i="4"/>
  <c r="S5" i="4"/>
  <c r="S4" i="4"/>
  <c r="S3" i="4"/>
  <c r="P7" i="4"/>
  <c r="Q7" i="4"/>
  <c r="R7" i="4"/>
  <c r="O7" i="4"/>
  <c r="T6" i="4"/>
  <c r="U6" i="4"/>
  <c r="V6" i="4"/>
  <c r="P6" i="4"/>
  <c r="Q6" i="4"/>
  <c r="R6" i="4"/>
  <c r="O6" i="4"/>
  <c r="V5" i="4"/>
  <c r="U5" i="4"/>
  <c r="T5" i="4"/>
  <c r="P5" i="4"/>
  <c r="Q5" i="4"/>
  <c r="R5" i="4"/>
  <c r="O5" i="4"/>
  <c r="T4" i="4"/>
  <c r="U4" i="4"/>
  <c r="V4" i="4"/>
  <c r="R4" i="4"/>
  <c r="Q4" i="4"/>
  <c r="P4" i="4"/>
  <c r="O4" i="4"/>
  <c r="V3" i="4"/>
  <c r="U3" i="4"/>
  <c r="T3" i="4"/>
  <c r="R3" i="4"/>
  <c r="Q3" i="4"/>
  <c r="P3" i="4"/>
  <c r="O3" i="4"/>
</calcChain>
</file>

<file path=xl/sharedStrings.xml><?xml version="1.0" encoding="utf-8"?>
<sst xmlns="http://schemas.openxmlformats.org/spreadsheetml/2006/main" count="842" uniqueCount="195">
  <si>
    <t>Model</t>
  </si>
  <si>
    <t>Mean year per GWL</t>
  </si>
  <si>
    <t>Period per GWL</t>
  </si>
  <si>
    <t>GCM (CMIP6)</t>
  </si>
  <si>
    <t>1.5°C</t>
  </si>
  <si>
    <t>2.0°C</t>
  </si>
  <si>
    <t>3.0°C</t>
  </si>
  <si>
    <t>4.0°C</t>
  </si>
  <si>
    <t>2058-2077</t>
  </si>
  <si>
    <t>CanESM5_ssp119_r1i1p1f1_gn_201501-210012</t>
  </si>
  <si>
    <t>2003-2022</t>
  </si>
  <si>
    <t>2015-2034</t>
  </si>
  <si>
    <t>2020-2039</t>
  </si>
  <si>
    <t>2002-2021</t>
  </si>
  <si>
    <t>IPSL-CM6A-LR_ssp119_r1i1p1f1_gr_201501-210012</t>
  </si>
  <si>
    <t>2009-2028</t>
  </si>
  <si>
    <t>2028-2047</t>
  </si>
  <si>
    <t>2021-2040</t>
  </si>
  <si>
    <t>2030-2049</t>
  </si>
  <si>
    <t>2018-2037</t>
  </si>
  <si>
    <t>2033-2052</t>
  </si>
  <si>
    <t>2064-2083</t>
  </si>
  <si>
    <t>2013-2032</t>
  </si>
  <si>
    <t>2041-2060</t>
  </si>
  <si>
    <t>BCC-CSM2-MR_ssp126_r1i1p1f1_gn_201501-210012</t>
  </si>
  <si>
    <t>2032-2051</t>
  </si>
  <si>
    <t>2050-2069</t>
  </si>
  <si>
    <t>2012-2031</t>
  </si>
  <si>
    <t>2029-2048</t>
  </si>
  <si>
    <t>2017-2036</t>
  </si>
  <si>
    <t>2014-2033</t>
  </si>
  <si>
    <t>2022-2041</t>
  </si>
  <si>
    <t>CNRM-CM6-1-HR_ssp126_r1i1p1f2_gr_201501-210012</t>
  </si>
  <si>
    <t>2008-2027</t>
  </si>
  <si>
    <t>CNRM-CM6-1_ssp126_r1i1p1f2_gr_201501-210012</t>
  </si>
  <si>
    <t>2038-2057</t>
  </si>
  <si>
    <t>CanESM5-CanOE_ssp126_r1i1p2f1_gn_201501-210012</t>
  </si>
  <si>
    <t>2000-2019</t>
  </si>
  <si>
    <t>2011-2030</t>
  </si>
  <si>
    <t>CanESM5_ssp126_r1i1p1f1_gn_201501-210012</t>
  </si>
  <si>
    <t>2004-2023</t>
  </si>
  <si>
    <t>2034-2053</t>
  </si>
  <si>
    <t>2047-2066</t>
  </si>
  <si>
    <t>2025-2044</t>
  </si>
  <si>
    <t>2019-2038</t>
  </si>
  <si>
    <t>2031-2050</t>
  </si>
  <si>
    <t>2036-2055</t>
  </si>
  <si>
    <t>2027-2046</t>
  </si>
  <si>
    <t>2069-2088</t>
  </si>
  <si>
    <t>IPSL-CM6A-LR_ssp126_r1i1p1f1_gr_201501-210012</t>
  </si>
  <si>
    <t>2010-2029</t>
  </si>
  <si>
    <t>2053-2072</t>
  </si>
  <si>
    <t>2040-2059</t>
  </si>
  <si>
    <t>NorESM2-LM_ssp126_r1i1p1f1_gn_201501-210012</t>
  </si>
  <si>
    <t>NorESM2-MM_ssp126_r1i1p1f1_gn_201501-210012</t>
  </si>
  <si>
    <t>BCC-CSM2-MR_ssp245_r1i1p1f1_gn_201501-210012</t>
  </si>
  <si>
    <t>2026-2045</t>
  </si>
  <si>
    <t>2048-2067</t>
  </si>
  <si>
    <t>2046-2065</t>
  </si>
  <si>
    <t>2066-2085</t>
  </si>
  <si>
    <t>2057-2076</t>
  </si>
  <si>
    <t>2056-2075</t>
  </si>
  <si>
    <t>CNRM-CM6-1-HR_ssp245_r1i1p1f2_gr_201501-210012</t>
  </si>
  <si>
    <t>2024-2043</t>
  </si>
  <si>
    <t>CNRM-CM6-1_ssp245_r1i1p1f2_gr_201501-210012</t>
  </si>
  <si>
    <t>2039-2058</t>
  </si>
  <si>
    <t>2075-2094</t>
  </si>
  <si>
    <t>CanESM5-CanOE_ssp245_r1i1p2f1_gn_201501-210012</t>
  </si>
  <si>
    <t>2035-2054</t>
  </si>
  <si>
    <t>2071-2090</t>
  </si>
  <si>
    <t>CanESM5_ssp245_r1i1p1f1_gn_201501-210012</t>
  </si>
  <si>
    <t>2074-2093</t>
  </si>
  <si>
    <t>2081-2100</t>
  </si>
  <si>
    <t>2001-2020</t>
  </si>
  <si>
    <t>2076-2095</t>
  </si>
  <si>
    <t>2023-2042</t>
  </si>
  <si>
    <t>GFDL-CM4_ssp245_r1i1p1f1_gr1_201501-210012</t>
  </si>
  <si>
    <t>GFDL-CM4_ssp245_r1i1p1f1_gr2_201501-210012</t>
  </si>
  <si>
    <t>2037-2056</t>
  </si>
  <si>
    <t>2045-2064</t>
  </si>
  <si>
    <t>2063-2082</t>
  </si>
  <si>
    <t>IPSL-CM6A-LR_ssp245_r1i1p1f1_gr_201501-210012</t>
  </si>
  <si>
    <t>NorESM2-LM_ssp245_r1i1p1f1_gn_201501-210012</t>
  </si>
  <si>
    <t>NorESM2-MM_ssp245_r1i1p1f1_gn_201501-210012</t>
  </si>
  <si>
    <t>2059-2078</t>
  </si>
  <si>
    <t>2060-2079</t>
  </si>
  <si>
    <t>BCC-CSM2-MR_ssp370_r1i1p1f1_gn_201501-210012</t>
  </si>
  <si>
    <t>2065-2084</t>
  </si>
  <si>
    <t>2078-2097</t>
  </si>
  <si>
    <t>CNRM-CM6-1-HR_ssp370_r1i1p1f2_gr_201501-210012</t>
  </si>
  <si>
    <t>2067-2086</t>
  </si>
  <si>
    <t>CNRM-CM6-1_ssp370_r1i1p1f2_gr_201501-210012</t>
  </si>
  <si>
    <t>CanESM5-CanOE_ssp370_r1i1p2f1_gn_201501-210012</t>
  </si>
  <si>
    <t>1999-2018</t>
  </si>
  <si>
    <t>CanESM5_ssp370_r1i1p1f1_gn_201501-210012</t>
  </si>
  <si>
    <t>2042-2061</t>
  </si>
  <si>
    <t>2049-2068</t>
  </si>
  <si>
    <t>2070-2089</t>
  </si>
  <si>
    <t>IPSL-CM6A-LR_ssp370_r1i1p1f1_gr_201501-210012</t>
  </si>
  <si>
    <t>2061-2080</t>
  </si>
  <si>
    <t>NorESM2-LM_ssp370_r1i1p1f1_gn_201501-210012</t>
  </si>
  <si>
    <t>NorESM2-MM_ssp370_r1i1p1f1_gn_201501-210012</t>
  </si>
  <si>
    <t>BCC-CSM2-MR_ssp585_r1i1p1f1_gn_201501-210012</t>
  </si>
  <si>
    <t>2068-2087</t>
  </si>
  <si>
    <t>2044-2063</t>
  </si>
  <si>
    <t>CNRM-CM6-1-HR_ssp585_r1i1p1f2_gr_201501-210012</t>
  </si>
  <si>
    <t>CNRM-CM6-1_ssp585_r1i1p1f2_gr_201501-210012</t>
  </si>
  <si>
    <t>CanESM5-CanOE_ssp585_r1i1p2f1_gn_201501-210012</t>
  </si>
  <si>
    <t>CanESM5_ssp585_r1i1p1f1_gn_201501-210012</t>
  </si>
  <si>
    <t>GFDL-CM4_ssp585_r1i1p1f1_gr1_201501-210012</t>
  </si>
  <si>
    <t>GFDL-CM4_ssp585_r1i1p1f1_gr2_201501-210012</t>
  </si>
  <si>
    <t>IPSL-CM6A-LR_ssp585_r1i1p1f1_gr_201501-210012</t>
  </si>
  <si>
    <t>NorESM2-LM_ssp585_r1i1p1f1_gn_201501-210012</t>
  </si>
  <si>
    <t>NorESM2-MM_ssp585_r1i1p1f1_gn_201501-210012</t>
  </si>
  <si>
    <t>AUT GCM CCS 1991-2020</t>
  </si>
  <si>
    <t>Median</t>
  </si>
  <si>
    <t>CCS AUT ÖKS15</t>
  </si>
  <si>
    <t>GCM (CMIP5)</t>
  </si>
  <si>
    <t>CNRM-CM5_rcp26_r1i1p1_200601-210012</t>
  </si>
  <si>
    <t>CanESM2_rcp26_r1i1p1_200601-210012</t>
  </si>
  <si>
    <t>IPSL-CM5A-LR_rcp26_r1i1p1_200601-230012</t>
  </si>
  <si>
    <t>IPSL-CM5A-MR_rcp26_r1i1p1_200601-210012</t>
  </si>
  <si>
    <t>2006-2025</t>
  </si>
  <si>
    <t>NorESM1-ME_rcp26_r1i1p1_200601-210112</t>
  </si>
  <si>
    <t>NorESM1-M_rcp26_r1i1p1_200601-210012</t>
  </si>
  <si>
    <t>bcc-csm1-1-m_rcp26_r1i1p1_200601-210012</t>
  </si>
  <si>
    <t>bcc-csm1-1_rcp26_r1i1p1_200601-209912</t>
  </si>
  <si>
    <t>CNRM-CM5_rcp45_r1i1p1_200601-210012</t>
  </si>
  <si>
    <t>CanESM2_rcp45_r1i1p1_200601-210012</t>
  </si>
  <si>
    <t>IPSL-CM5A-LR_rcp45_r1i1p1_200601-230012</t>
  </si>
  <si>
    <t>NorESM1-ME_rcp45_r1i1p1_200601-210212</t>
  </si>
  <si>
    <t>NorESM1-M_rcp45_r1i1p1_200601-210012</t>
  </si>
  <si>
    <t>bcc-csm1-1-m_rcp45_r1i1p1_200601-210012</t>
  </si>
  <si>
    <t>bcc-csm1-1_rcp45_r1i1p1_200601-209912</t>
  </si>
  <si>
    <t>CNRM-CM5_rcp85_r1i1p1_200601-210012</t>
  </si>
  <si>
    <t>CanESM2_rcp85_r1i1p1_200601-210012</t>
  </si>
  <si>
    <t>GFDL-CM3_rcp85_r1i1p1_200601-210012</t>
  </si>
  <si>
    <t>IPSL-CM5A-LR_rcp85_r1i1p1_200601-230012</t>
  </si>
  <si>
    <t>NorESM1-ME_rcp85_r1i1p1_200601-210012</t>
  </si>
  <si>
    <t>NorESM1-M_rcp85_r1i1p1_200601-210012</t>
  </si>
  <si>
    <t>bcc-csm1-1-m_rcp85_r1i1p1_200601-210012</t>
  </si>
  <si>
    <t>bcc-csm1-1_rcp85_r1i1p1_200601-209912</t>
  </si>
  <si>
    <t>rcp</t>
  </si>
  <si>
    <t>rcp26</t>
  </si>
  <si>
    <t>rcp85</t>
  </si>
  <si>
    <t>rcp45</t>
  </si>
  <si>
    <t>ssp</t>
  </si>
  <si>
    <t>ssp119</t>
  </si>
  <si>
    <t>ssp126</t>
  </si>
  <si>
    <t>ssp245</t>
  </si>
  <si>
    <t>ssp370</t>
  </si>
  <si>
    <t>ssp585</t>
  </si>
  <si>
    <t>-&gt;</t>
  </si>
  <si>
    <t>scaling factor</t>
  </si>
  <si>
    <t>p10</t>
  </si>
  <si>
    <t>p25</t>
  </si>
  <si>
    <t>p75</t>
  </si>
  <si>
    <t>p90</t>
  </si>
  <si>
    <t>percentiles</t>
  </si>
  <si>
    <t>percentiles (scaled)</t>
  </si>
  <si>
    <t>Linked models</t>
  </si>
  <si>
    <t>AUT OEKS15 CCS 1991-2020</t>
  </si>
  <si>
    <t>OEKS15 ensemble member</t>
  </si>
  <si>
    <t>EC-EARTH_rcp26_r12i1p1</t>
  </si>
  <si>
    <t>SDM_ICHEC-EC-EARTH_rcp26_r12i1p1_CLMcom-CCLM4-8-17_all</t>
  </si>
  <si>
    <t>HadGEM2-ES_rcp26_r1i1p1</t>
  </si>
  <si>
    <t>SDM_MOHC-HadGEM2-ES_rcp26_r1i1p1_SMHI-RCA4_all</t>
  </si>
  <si>
    <t>MPI-ESM-LR_rcp26_r1i1p1</t>
  </si>
  <si>
    <t>SDM_MPI-M-MPI-ESM-LR_rcp26_r1i1p1_MPI-CSC-REMO2009_all</t>
  </si>
  <si>
    <t>MPI-ESM-LR_rcp26_r2i1p1</t>
  </si>
  <si>
    <t>SDM_MPI-M-MPI-ESM-LR_rcp26_r2i1p1_MPI-CSC-REMO2009_all</t>
  </si>
  <si>
    <t>CNRM-CM5_rcp45_r1i1p1</t>
  </si>
  <si>
    <t>SDM_CNRM-CERFACS-CNRM-CM5_rcp45_r1i1p1_CLMcom-CCLM4-8-17</t>
  </si>
  <si>
    <t>EC-EARTH_rcp45_r12i1p1</t>
  </si>
  <si>
    <t>SDM_ICHEC-EC-EARTH_rcp45_r12i1p1_CLMcom-CCLM4-8-17</t>
  </si>
  <si>
    <t>EC-EARTH_rcp45_r1i1p1</t>
  </si>
  <si>
    <t>SDM_ICHEC-EC-EARTH_rcp45_r1i1p1_KNMI-RACMO22E</t>
  </si>
  <si>
    <t>HadGEM2-ES_rcp45_r1i1p1</t>
  </si>
  <si>
    <t>SDM_MOHC-HadGEM2-ES_rcp45_r1i1p1_CLMcom-CCLM4-8-17</t>
  </si>
  <si>
    <t>IPSL-CM5A-MR_rcp45_r1i1p1</t>
  </si>
  <si>
    <t>SDM_IPSL-IPSL-CM5A-MR_rcp45_r1i1p1_IPSL-INERIS-WRF331F</t>
  </si>
  <si>
    <t>MPI-ESM-LR_rcp45_r1i1p1</t>
  </si>
  <si>
    <t>SDM_MPI-M-MPI-ESM-LR_rcp45_r1i1p1_CLMcom-CCLM4-8-17</t>
  </si>
  <si>
    <t>CNRM-CM5_rcp85_r1i1p1</t>
  </si>
  <si>
    <t>SDM_CNRM-CERFACS-CNRM-CM5_rcp85_r1i1p1_CLMcom-CCLM4-8-17</t>
  </si>
  <si>
    <t>EC-EARTH_rcp85_r12i1p1</t>
  </si>
  <si>
    <t>SDM_ICHEC-EC-EARTH_rcp85_r12i1p1_CLMcom-CCLM4-8-17</t>
  </si>
  <si>
    <t>EC-EARTH_rcp85_r1i1p1</t>
  </si>
  <si>
    <t>SDM_ICHEC-EC-EARTH_rcp85_r1i1p1_KNMI-RACMO22E</t>
  </si>
  <si>
    <t>HadGEM2-ES_rcp85_r1i1p1</t>
  </si>
  <si>
    <t>SDM_MOHC-HadGEM2-ES_rcp85_r1i1p1_CLMcom-CCLM4-8-17</t>
  </si>
  <si>
    <t>IPSL-CM5A-MR_rcp85_r1i1p1</t>
  </si>
  <si>
    <t>SDM_IPSL-IPSL-CM5A-MR_rcp85_r1i1p1_IPSL-INERIS-WRF331F</t>
  </si>
  <si>
    <t>MPI-ESM-LR_rcp85_r1i1p1</t>
  </si>
  <si>
    <t>SDM_MPI-M-MPI-ESM-LR_rcp85_r1i1p1_CLMcom-CCLM4-8-17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</si>
</sst>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164" fontId="0" fillId="0" borderId="0" xfId="0" applyNumberFormat="1"/>
    <xf numFmtId="0" fontId="0" fillId="0" borderId="0" xfId="0" quotePrefix="1"/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0" borderId="0" xfId="0" applyFill="1" applyBorder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theme" Target="theme/theme1.xml"/><Relationship Id="rId5" Type="http://schemas.openxmlformats.org/officeDocument/2006/relationships/chartsheet" Target="chartsheets/sheet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  <cx:data id="1">
      <cx:numDim type="val">
        <cx:f>_xlchart.v1.33</cx:f>
      </cx:numDim>
    </cx:data>
    <cx:data id="2">
      <cx:numDim type="val">
        <cx:f>_xlchart.v1.24</cx:f>
      </cx:numDim>
    </cx:data>
    <cx:data id="3"/>
    <cx:data id="4">
      <cx:numDim type="val">
        <cx:f>_xlchart.v1.30</cx:f>
      </cx:numDim>
    </cx:data>
    <cx:data id="5">
      <cx:numDim type="val">
        <cx:f>_xlchart.v1.34</cx:f>
      </cx:numDim>
    </cx:data>
    <cx:data id="6">
      <cx:numDim type="val">
        <cx:f>_xlchart.v1.25</cx:f>
      </cx:numDim>
    </cx:data>
    <cx:data id="7"/>
    <cx:data id="8">
      <cx:numDim type="val">
        <cx:f>_xlchart.v1.31</cx:f>
      </cx:numDim>
    </cx:data>
    <cx:data id="9">
      <cx:numDim type="val">
        <cx:f>_xlchart.v1.35</cx:f>
      </cx:numDim>
    </cx:data>
    <cx:data id="10">
      <cx:numDim type="val">
        <cx:f>_xlchart.v1.26</cx:f>
      </cx:numDim>
    </cx:data>
    <cx:data id="11"/>
    <cx:data id="12">
      <cx:numDim type="val">
        <cx:f>_xlchart.v1.32</cx:f>
      </cx:numDim>
    </cx:data>
    <cx:data id="13">
      <cx:numDim type="val">
        <cx:f>_xlchart.v1.36</cx:f>
      </cx:numDim>
    </cx:data>
    <cx:data id="14">
      <cx:numDim type="val">
        <cx:f>_xlchart.v1.27</cx:f>
      </cx:numDim>
    </cx:data>
  </cx:chartData>
  <cx:chart>
    <cx:title pos="t" align="ctr" overlay="0">
      <cx:tx>
        <cx:txData>
          <cx:v>Date of reaching GWLs: CMIP5 (OEKS15) vs. CMIP5 (whole ensemble) vs. CMIP6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de-DE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Date of reaching GWLs: CMIP5 (OEKS15) vs. CMIP5 (whole ensemble) vs. CMIP6</a:t>
          </a:r>
        </a:p>
      </cx:txPr>
    </cx:title>
    <cx:plotArea>
      <cx:plotAreaRegion>
        <cx:plotSurface>
          <cx:spPr>
            <a:noFill/>
            <a:ln>
              <a:noFill/>
            </a:ln>
          </cx:spPr>
        </cx:plotSurface>
        <cx:series layoutId="boxWhisker" uniqueId="{00000007-8C2E-6046-9CB2-CB9C5341ECB9}" formatIdx="0">
          <cx:tx>
            <cx:txData>
              <cx:f/>
              <cx:v>1.5°C OEKS15 (16)</cx:v>
            </cx:txData>
          </cx:tx>
          <cx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accent1"/>
              </a:solidFill>
            </a:ln>
          </cx:spPr>
          <cx:dataId val="0"/>
          <cx:layoutPr>
            <cx:visibility meanLine="1" meanMarker="0" nonoutliers="0"/>
            <cx:statistics quartileMethod="exclusive"/>
          </cx:layoutPr>
        </cx:series>
        <cx:series layoutId="boxWhisker" uniqueId="{00000008-8C2E-6046-9CB2-CB9C5341ECB9}" formatIdx="1">
          <cx:tx>
            <cx:txData>
              <cx:f/>
              <cx:v>1.5°C CMIP5 (22)</cx:v>
            </cx:txData>
          </cx:tx>
          <cx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/>
              </a:solidFill>
            </a:ln>
          </cx:spPr>
          <cx:dataId val="1"/>
          <cx:layoutPr>
            <cx:visibility meanLine="1" meanMarker="0" nonoutliers="0"/>
            <cx:statistics quartileMethod="exclusive"/>
          </cx:layoutPr>
        </cx:series>
        <cx:series layoutId="boxWhisker" uniqueId="{00000009-8C2E-6046-9CB2-CB9C5341ECB9}" formatIdx="2">
          <cx:tx>
            <cx:txData>
              <cx:f/>
              <cx:v>1.5°C CMIP6 (24)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/>
              </a:solidFill>
            </a:ln>
          </cx:spPr>
          <cx:dataId val="2"/>
          <cx:layoutPr>
            <cx:visibility meanLine="1" meanMarker="0" nonoutliers="0"/>
            <cx:statistics quartileMethod="exclusive"/>
          </cx:layoutPr>
        </cx:series>
        <cx:series layoutId="boxWhisker" uniqueId="{00000002-E6FF-D540-8FC9-92E5F16CD45B}">
          <cx:dataId val="3"/>
          <cx:layoutPr>
            <cx:statistics quartileMethod="exclusive"/>
          </cx:layoutPr>
        </cx:series>
        <cx:series layoutId="boxWhisker" uniqueId="{00000003-E6FF-D540-8FC9-92E5F16CD45B}">
          <cx:tx>
            <cx:txData>
              <cx:f/>
              <cx:v>2.0°C OEKS15 (12)</cx:v>
            </cx:txData>
          </cx:tx>
          <cx:spPr>
            <a:solidFill>
              <a:schemeClr val="accent6">
                <a:lumMod val="20000"/>
                <a:lumOff val="80000"/>
              </a:schemeClr>
            </a:solidFill>
            <a:ln>
              <a:solidFill>
                <a:schemeClr val="accent6"/>
              </a:solidFill>
            </a:ln>
          </cx:spPr>
          <cx:dataId val="4"/>
          <cx:layoutPr>
            <cx:visibility meanLine="1" meanMarker="0" nonoutliers="0"/>
            <cx:statistics quartileMethod="exclusive"/>
          </cx:layoutPr>
        </cx:series>
        <cx:series layoutId="boxWhisker" uniqueId="{00000004-E6FF-D540-8FC9-92E5F16CD45B}">
          <cx:tx>
            <cx:txData>
              <cx:f/>
              <cx:v>2.0°C CMIP5 (19)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/>
              </a:solidFill>
            </a:ln>
          </cx:spPr>
          <cx:dataId val="5"/>
          <cx:layoutPr>
            <cx:visibility meanLine="1" meanMarker="0" nonoutliers="0"/>
            <cx:statistics quartileMethod="exclusive"/>
          </cx:layoutPr>
        </cx:series>
        <cx:series layoutId="boxWhisker" uniqueId="{00000005-E6FF-D540-8FC9-92E5F16CD45B}">
          <cx:tx>
            <cx:txData>
              <cx:f/>
              <cx:v>2.0°C CMIP6 (21)</cx:v>
            </cx:txData>
          </cx:tx>
          <cx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/>
              </a:solidFill>
            </a:ln>
          </cx:spPr>
          <cx:dataId val="6"/>
          <cx:layoutPr>
            <cx:visibility meanLine="1" meanMarker="0" nonoutliers="0"/>
            <cx:statistics quartileMethod="exclusive"/>
          </cx:layoutPr>
        </cx:series>
        <cx:series layoutId="boxWhisker" uniqueId="{00000006-E6FF-D540-8FC9-92E5F16CD45B}">
          <cx:dataId val="7"/>
          <cx:layoutPr>
            <cx:statistics quartileMethod="exclusive"/>
          </cx:layoutPr>
        </cx:series>
        <cx:series layoutId="boxWhisker" uniqueId="{00000007-E6FF-D540-8FC9-92E5F16CD45B}">
          <cx:tx>
            <cx:txData>
              <cx:f/>
              <cx:v>3.0°C OEKS15 (8)</cx:v>
            </cx:txData>
          </cx:tx>
          <cx:spPr>
            <a:solidFill>
              <a:schemeClr val="accent2">
                <a:lumMod val="20000"/>
                <a:lumOff val="80000"/>
              </a:schemeClr>
            </a:solidFill>
            <a:ln>
              <a:solidFill>
                <a:schemeClr val="accent2"/>
              </a:solidFill>
            </a:ln>
          </cx:spPr>
          <cx:dataId val="8"/>
          <cx:layoutPr>
            <cx:visibility meanLine="1" meanMarker="0" nonoutliers="0"/>
            <cx:statistics quartileMethod="exclusive"/>
          </cx:layoutPr>
        </cx:series>
        <cx:series layoutId="boxWhisker" uniqueId="{00000008-E6FF-D540-8FC9-92E5F16CD45B}">
          <cx:tx>
            <cx:txData>
              <cx:f/>
              <cx:v>3.0°C CMIP5 (10)</cx:v>
            </cx:txData>
          </cx:tx>
          <cx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2"/>
              </a:solidFill>
            </a:ln>
          </cx:spPr>
          <cx:dataId val="9"/>
          <cx:layoutPr>
            <cx:visibility meanLine="1" meanMarker="0" nonoutliers="0"/>
            <cx:statistics quartileMethod="exclusive"/>
          </cx:layoutPr>
        </cx:series>
        <cx:series layoutId="boxWhisker" uniqueId="{00000009-E6FF-D540-8FC9-92E5F16CD45B}">
          <cx:tx>
            <cx:txData>
              <cx:f/>
              <cx:v>3.0°C CMIP6 (13)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/>
              </a:solidFill>
            </a:ln>
          </cx:spPr>
          <cx:dataId val="10"/>
          <cx:layoutPr>
            <cx:visibility meanLine="1" meanMarker="0" nonoutliers="0"/>
            <cx:statistics quartileMethod="exclusive"/>
          </cx:layoutPr>
        </cx:series>
        <cx:series layoutId="boxWhisker" uniqueId="{0000000A-E6FF-D540-8FC9-92E5F16CD45B}">
          <cx:dataId val="11"/>
          <cx:layoutPr>
            <cx:statistics quartileMethod="exclusive"/>
          </cx:layoutPr>
        </cx:series>
        <cx:series layoutId="boxWhisker" uniqueId="{0000000B-E6FF-D540-8FC9-92E5F16CD45B}">
          <cx:tx>
            <cx:txData>
              <cx:f/>
              <cx:v>4.0°C OEKS15 (5)</cx:v>
            </cx:txData>
          </cx:tx>
          <cx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</cx:spPr>
          <cx:dataId val="12"/>
          <cx:layoutPr>
            <cx:visibility meanLine="1" meanMarker="0" nonoutliers="0"/>
            <cx:statistics quartileMethod="exclusive"/>
          </cx:layoutPr>
        </cx:series>
        <cx:series layoutId="boxWhisker" uniqueId="{0000000C-E6FF-D540-8FC9-92E5F16CD45B}">
          <cx:tx>
            <cx:txData>
              <cx:f/>
              <cx:v>4.0°C CMIP5 (6)</cx:v>
            </cx:txData>
          </cx:tx>
          <cx:spPr>
            <a:solidFill>
              <a:schemeClr val="bg2">
                <a:lumMod val="75000"/>
              </a:schemeClr>
            </a:solidFill>
            <a:ln>
              <a:solidFill>
                <a:schemeClr val="tx1"/>
              </a:solidFill>
            </a:ln>
          </cx:spPr>
          <cx:dataId val="13"/>
          <cx:layoutPr>
            <cx:visibility meanLine="1" meanMarker="0" nonoutliers="0"/>
            <cx:statistics quartileMethod="exclusive"/>
          </cx:layoutPr>
        </cx:series>
        <cx:series layoutId="boxWhisker" uniqueId="{0000000D-E6FF-D540-8FC9-92E5F16CD45B}">
          <cx:tx>
            <cx:txData>
              <cx:f/>
              <cx:v>4.0°C CMIP6 (7)</cx:v>
            </cx:txData>
          </cx:tx>
          <cx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</cx:spPr>
          <cx:dataId val="14"/>
          <cx:layoutPr>
            <cx:visibility meanLine="1" meanMarker="0" nonoutliers="0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in="2000"/>
        <cx:title>
          <cx:tx>
            <cx:txData>
              <cx:v>Year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/>
              </a:pPr>
              <a:r>
                <a:rPr lang="de-DE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Year</a:t>
              </a:r>
            </a:p>
          </cx:txPr>
        </cx:title>
        <cx:majorGridlines/>
        <cx:majorTickMarks type="out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de-DE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r" align="ctr" overlay="1">
      <cx:spPr>
        <a:solidFill>
          <a:schemeClr val="bg1"/>
        </a:solidFill>
        <a:ln>
          <a:solidFill>
            <a:srgbClr val="DADADA"/>
          </a:solidFill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/>
          </a:pPr>
          <a:endParaRPr lang="de-DE" sz="12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_xlchart.v1.44</cx:f>
      </cx:numDim>
    </cx:data>
    <cx:data id="1">
      <cx:numDim type="val">
        <cx:f>_xlchart.v1.45</cx:f>
      </cx:numDim>
    </cx:data>
    <cx:data id="2">
      <cx:numDim type="val">
        <cx:f>_xlchart.v1.46</cx:f>
      </cx:numDim>
    </cx:data>
    <cx:data id="3">
      <cx:numDim type="val">
        <cx:f>_xlchart.v1.37</cx:f>
      </cx:numDim>
    </cx:data>
    <cx:data id="4">
      <cx:numDim type="val">
        <cx:f>_xlchart.v1.47</cx:f>
      </cx:numDim>
    </cx:data>
    <cx:data id="5">
      <cx:numDim type="val">
        <cx:f>_xlchart.v1.48</cx:f>
      </cx:numDim>
    </cx:data>
    <cx:data id="6">
      <cx:numDim type="val">
        <cx:f>_xlchart.v1.49</cx:f>
      </cx:numDim>
    </cx:data>
  </cx:chartData>
  <cx:chart>
    <cx:title pos="t" align="ctr" overlay="0">
      <cx:tx>
        <cx:txData>
          <cx:v>Date of reaching GWLs for three RCPs within the CMIP5 ensemble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 b="1"/>
          </a:pPr>
          <a:r>
            <a:rPr lang="de-DE" sz="16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Date of reaching GWLs for three RCPs within the CMIP5 ensemble</a:t>
          </a:r>
        </a:p>
      </cx:txPr>
    </cx:title>
    <cx:plotArea>
      <cx:plotAreaRegion>
        <cx:plotSurface>
          <cx:spPr>
            <a:ln>
              <a:noFill/>
            </a:ln>
          </cx:spPr>
        </cx:plotSurface>
        <cx:series layoutId="boxWhisker" uniqueId="{92CD813B-6E13-7B41-BC22-3639C6F0D6EB}" formatIdx="0">
          <cx:tx>
            <cx:txData>
              <cx:f/>
              <cx:v>1.5°C RCP2.6 (7)</cx:v>
            </cx:txData>
          </cx:tx>
          <cx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/>
              </a:solidFill>
            </a:ln>
          </cx:spPr>
          <cx:dataId val="0"/>
          <cx:layoutPr>
            <cx:visibility meanLine="1" meanMarker="0" nonoutliers="0" outliers="1"/>
            <cx:statistics quartileMethod="exclusive"/>
          </cx:layoutPr>
        </cx:series>
        <cx:series layoutId="boxWhisker" uniqueId="{00000001-193D-854A-9500-F4E44829579D}" formatIdx="1">
          <cx:tx>
            <cx:txData>
              <cx:f/>
              <cx:v>1.5°C RCP4.5 (7)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/>
              </a:solidFill>
            </a:ln>
          </cx:spPr>
          <cx:dataId val="1"/>
          <cx:layoutPr>
            <cx:visibility meanLine="1" meanMarker="0" nonoutliers="0"/>
            <cx:statistics quartileMethod="exclusive"/>
          </cx:layoutPr>
        </cx:series>
        <cx:series layoutId="boxWhisker" uniqueId="{00000002-193D-854A-9500-F4E44829579D}" formatIdx="2">
          <cx:tx>
            <cx:txData>
              <cx:f/>
              <cx:v>1.5°C RCP8.5 (8)</cx:v>
            </cx:txData>
          </cx:tx>
          <cx:spPr>
            <a:solidFill>
              <a:schemeClr val="accent1">
                <a:lumMod val="75000"/>
              </a:schemeClr>
            </a:solidFill>
            <a:ln>
              <a:solidFill>
                <a:schemeClr val="accent1"/>
              </a:solidFill>
            </a:ln>
          </cx:spPr>
          <cx:dataId val="2"/>
          <cx:layoutPr>
            <cx:visibility meanLine="1" meanMarker="0" nonoutliers="0"/>
            <cx:statistics quartileMethod="exclusive"/>
          </cx:layoutPr>
        </cx:series>
        <cx:series layoutId="boxWhisker" uniqueId="{00000007-193D-854A-9500-F4E44829579D}">
          <cx:dataId val="3"/>
          <cx:layoutPr>
            <cx:statistics quartileMethod="exclusive"/>
          </cx:layoutPr>
        </cx:series>
        <cx:series layoutId="boxWhisker" uniqueId="{00000008-193D-854A-9500-F4E44829579D}">
          <cx:tx>
            <cx:txData>
              <cx:f/>
              <cx:v>2.0°C RCP2.6 (4)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/>
              </a:solidFill>
            </a:ln>
          </cx:spPr>
          <cx:dataId val="4"/>
          <cx:layoutPr>
            <cx:visibility meanLine="1" meanMarker="0" nonoutliers="0"/>
            <cx:statistics quartileMethod="exclusive"/>
          </cx:layoutPr>
        </cx:series>
        <cx:series layoutId="boxWhisker" uniqueId="{00000009-193D-854A-9500-F4E44829579D}">
          <cx:tx>
            <cx:txData>
              <cx:f/>
              <cx:v>2.0°C RCP4.5 (7)</cx:v>
            </cx:txData>
          </cx:tx>
          <cx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/>
              </a:solidFill>
            </a:ln>
          </cx:spPr>
          <cx:dataId val="5"/>
          <cx:layoutPr>
            <cx:visibility meanLine="1" meanMarker="0" nonoutliers="0"/>
            <cx:statistics quartileMethod="exclusive"/>
          </cx:layoutPr>
        </cx:series>
        <cx:series layoutId="boxWhisker" uniqueId="{0000000A-193D-854A-9500-F4E44829579D}">
          <cx:tx>
            <cx:txData>
              <cx:f/>
              <cx:v>2.0°C RCP8.5 (8)</cx:v>
            </cx:txData>
          </cx:tx>
          <cx:spPr>
            <a:solidFill>
              <a:schemeClr val="accent6">
                <a:lumMod val="75000"/>
              </a:schemeClr>
            </a:solidFill>
            <a:ln>
              <a:solidFill>
                <a:schemeClr val="accent6"/>
              </a:solidFill>
            </a:ln>
          </cx:spPr>
          <cx:dataId val="6"/>
          <cx:layoutPr>
            <cx:visibility meanLine="1" meanMarker="0" nonoutliers="0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in="2000"/>
        <cx:title>
          <cx:tx>
            <cx:txData>
              <cx:v>Year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400"/>
              </a:pPr>
              <a:r>
                <a:rPr lang="de-DE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Year</a:t>
              </a:r>
            </a:p>
          </cx:txPr>
        </cx:title>
        <cx:majorGridlines/>
        <cx:majorTickMarks type="out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/>
            </a:pPr>
            <a:endParaRPr lang="de-D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/>
          </a:pPr>
          <a:endParaRPr lang="de-DE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_xlchart.v1.58</cx:f>
      </cx:numDim>
    </cx:data>
    <cx:data id="1">
      <cx:numDim type="val">
        <cx:f>_xlchart.v1.59</cx:f>
      </cx:numDim>
    </cx:data>
    <cx:data id="2">
      <cx:numDim type="val">
        <cx:f>_xlchart.v1.60</cx:f>
      </cx:numDim>
    </cx:data>
    <cx:data id="3">
      <cx:numDim type="val">
        <cx:f>_xlchart.v1.61</cx:f>
      </cx:numDim>
    </cx:data>
    <cx:data id="4"/>
    <cx:data id="5">
      <cx:numDim type="val">
        <cx:f>_xlchart.v1.62</cx:f>
      </cx:numDim>
    </cx:data>
    <cx:data id="6">
      <cx:numDim type="val">
        <cx:f>_xlchart.v1.63</cx:f>
      </cx:numDim>
    </cx:data>
    <cx:data id="7">
      <cx:numDim type="val">
        <cx:f>_xlchart.v1.64</cx:f>
      </cx:numDim>
    </cx:data>
    <cx:data id="8">
      <cx:numDim type="val">
        <cx:f>_xlchart.v1.65</cx:f>
      </cx:numDim>
    </cx:data>
  </cx:chartData>
  <cx:chart>
    <cx:title pos="t" align="ctr" overlay="0">
      <cx:tx>
        <cx:txData>
          <cx:v>Date of reaching GWLs for four SSPs within the CMIP6 ensemble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 b="1"/>
          </a:pPr>
          <a:r>
            <a:rPr lang="de-DE" sz="16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Date of reaching GWLs for four SSPs within the CMIP6 ensemble</a:t>
          </a:r>
        </a:p>
      </cx:txPr>
    </cx:title>
    <cx:plotArea>
      <cx:plotAreaRegion>
        <cx:plotSurface>
          <cx:spPr>
            <a:ln>
              <a:noFill/>
            </a:ln>
          </cx:spPr>
        </cx:plotSurface>
        <cx:series layoutId="boxWhisker" uniqueId="{92CD813B-6E13-7B41-BC22-3639C6F0D6EB}" formatIdx="0">
          <cx:tx>
            <cx:txData>
              <cx:f/>
              <cx:v>1.5°C SSP126 (6)</cx:v>
            </cx:txData>
          </cx:tx>
          <cx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accent1"/>
              </a:solidFill>
            </a:ln>
          </cx:spPr>
          <cx:dataId val="0"/>
          <cx:layoutPr>
            <cx:visibility meanLine="1" meanMarker="0" nonoutliers="0" outliers="1"/>
            <cx:statistics quartileMethod="exclusive"/>
          </cx:layoutPr>
        </cx:series>
        <cx:series layoutId="boxWhisker" uniqueId="{00000001-28D6-F44A-AAB0-67386F647F24}">
          <cx:tx>
            <cx:txData>
              <cx:f/>
              <cx:v>1.5°C SSP245 (10)</cx:v>
            </cx:txData>
          </cx:tx>
          <cx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/>
              </a:solidFill>
            </a:ln>
          </cx:spPr>
          <cx:dataId val="1"/>
          <cx:layoutPr>
            <cx:visibility meanLine="1" meanMarker="0" nonoutliers="0"/>
            <cx:statistics quartileMethod="exclusive"/>
          </cx:layoutPr>
        </cx:series>
        <cx:series layoutId="boxWhisker" uniqueId="{00000002-28D6-F44A-AAB0-67386F647F24}">
          <cx:tx>
            <cx:txData>
              <cx:f/>
              <cx:v>1.5°C SSP370 (8)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/>
              </a:solidFill>
            </a:ln>
          </cx:spPr>
          <cx:dataId val="2"/>
          <cx:layoutPr>
            <cx:visibility meanLine="1" meanMarker="0" nonoutliers="0" outliers="1"/>
            <cx:statistics quartileMethod="exclusive"/>
          </cx:layoutPr>
        </cx:series>
        <cx:series layoutId="boxWhisker" uniqueId="{00000003-28D6-F44A-AAB0-67386F647F24}">
          <cx:tx>
            <cx:txData>
              <cx:f/>
              <cx:v>1.5°C SSP585 (10)</cx:v>
            </cx:txData>
          </cx:tx>
          <cx:spPr>
            <a:solidFill>
              <a:schemeClr val="accent1">
                <a:lumMod val="75000"/>
              </a:schemeClr>
            </a:solidFill>
            <a:ln>
              <a:solidFill>
                <a:schemeClr val="accent1"/>
              </a:solidFill>
            </a:ln>
          </cx:spPr>
          <cx:dataId val="3"/>
          <cx:layoutPr>
            <cx:visibility meanLine="1" meanMarker="0" nonoutliers="0" outliers="1"/>
            <cx:statistics quartileMethod="exclusive"/>
          </cx:layoutPr>
        </cx:series>
        <cx:series layoutId="boxWhisker" uniqueId="{00000004-28D6-F44A-AAB0-67386F647F24}">
          <cx:dataId val="4"/>
          <cx:layoutPr>
            <cx:statistics quartileMethod="exclusive"/>
          </cx:layoutPr>
        </cx:series>
        <cx:series layoutId="boxWhisker" uniqueId="{00000005-28D6-F44A-AAB0-67386F647F24}">
          <cx:tx>
            <cx:txData>
              <cx:f/>
              <cx:v>2.0°C SSP126 (5)</cx:v>
            </cx:txData>
          </cx:tx>
          <cx:spPr>
            <a:solidFill>
              <a:schemeClr val="accent6">
                <a:lumMod val="20000"/>
                <a:lumOff val="80000"/>
              </a:schemeClr>
            </a:solidFill>
            <a:ln>
              <a:solidFill>
                <a:schemeClr val="accent6"/>
              </a:solidFill>
            </a:ln>
          </cx:spPr>
          <cx:dataId val="5"/>
          <cx:layoutPr>
            <cx:visibility meanLine="1" meanMarker="0" nonoutliers="0"/>
            <cx:statistics quartileMethod="exclusive"/>
          </cx:layoutPr>
        </cx:series>
        <cx:series layoutId="boxWhisker" uniqueId="{00000006-28D6-F44A-AAB0-67386F647F24}">
          <cx:tx>
            <cx:txData>
              <cx:f/>
              <cx:v>2.0°C SSP245 (10)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/>
              </a:solidFill>
            </a:ln>
          </cx:spPr>
          <cx:dataId val="6"/>
          <cx:layoutPr>
            <cx:visibility meanLine="1" meanMarker="0" nonoutliers="0" outliers="1"/>
            <cx:statistics quartileMethod="exclusive"/>
          </cx:layoutPr>
        </cx:series>
        <cx:series layoutId="boxWhisker" uniqueId="{00000007-28D6-F44A-AAB0-67386F647F24}">
          <cx:tx>
            <cx:txData>
              <cx:f/>
              <cx:v>2.0°C SSP370 (8)</cx:v>
            </cx:txData>
          </cx:tx>
          <cx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/>
              </a:solidFill>
            </a:ln>
          </cx:spPr>
          <cx:dataId val="7"/>
          <cx:layoutPr>
            <cx:visibility meanLine="1" meanMarker="0" nonoutliers="0"/>
            <cx:statistics quartileMethod="exclusive"/>
          </cx:layoutPr>
        </cx:series>
        <cx:series layoutId="boxWhisker" uniqueId="{00000008-28D6-F44A-AAB0-67386F647F24}">
          <cx:tx>
            <cx:txData>
              <cx:f/>
              <cx:v>2.0°C SSP585 (10)</cx:v>
            </cx:txData>
          </cx:tx>
          <cx:spPr>
            <a:solidFill>
              <a:schemeClr val="accent6">
                <a:lumMod val="75000"/>
              </a:schemeClr>
            </a:solidFill>
            <a:ln>
              <a:solidFill>
                <a:schemeClr val="accent6"/>
              </a:solidFill>
            </a:ln>
          </cx:spPr>
          <cx:dataId val="8"/>
          <cx:layoutPr>
            <cx:visibility meanLine="1" meanMarker="0" nonoutliers="0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in="2000"/>
        <cx:title>
          <cx:tx>
            <cx:txData>
              <cx:v>Year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400"/>
              </a:pPr>
              <a:r>
                <a:rPr lang="de-DE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Year</a:t>
              </a:r>
            </a:p>
          </cx:txPr>
        </cx:title>
        <cx:majorGridlines/>
        <cx:majorTickMarks type="out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/>
            </a:pPr>
            <a:endParaRPr lang="de-D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/>
          </a:pPr>
          <a:endParaRPr lang="de-DE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_xlchart.v1.111</cx:f>
      </cx:numDim>
    </cx:data>
    <cx:data id="1">
      <cx:numDim type="val">
        <cx:f>_xlchart.v1.107</cx:f>
      </cx:numDim>
    </cx:data>
    <cx:data id="2"/>
    <cx:data id="3">
      <cx:numDim type="val">
        <cx:f>_xlchart.v1.112</cx:f>
      </cx:numDim>
    </cx:data>
    <cx:data id="4">
      <cx:numDim type="val">
        <cx:f>_xlchart.v1.108</cx:f>
      </cx:numDim>
    </cx:data>
    <cx:data id="5"/>
    <cx:data id="6">
      <cx:numDim type="val">
        <cx:f>_xlchart.v1.113</cx:f>
      </cx:numDim>
    </cx:data>
    <cx:data id="7">
      <cx:numDim type="val">
        <cx:f>_xlchart.v1.109</cx:f>
      </cx:numDim>
    </cx:data>
    <cx:data id="8"/>
    <cx:data id="9">
      <cx:numDim type="val">
        <cx:f>_xlchart.v1.106</cx:f>
      </cx:numDim>
    </cx:data>
    <cx:data id="10">
      <cx:numDim type="val">
        <cx:f>_xlchart.v1.110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de-DE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Regional climate change signal (relative to 1991-2020) over Austria for four GWLs:</a:t>
            </a:r>
          </a:p>
          <a:p>
            <a:pPr algn="ctr" rtl="0">
              <a:defRPr b="1"/>
            </a:pPr>
            <a:r>
              <a:rPr lang="de-DE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CMIP5 vs. CMIP6</a:t>
            </a:r>
          </a:p>
        </cx:rich>
      </cx:tx>
    </cx:title>
    <cx:plotArea>
      <cx:plotAreaRegion>
        <cx:series layoutId="boxWhisker" uniqueId="{00000000-3A1F-314D-96F3-FCEFF558ED6E}">
          <cx:tx>
            <cx:txData>
              <cx:f/>
              <cx:v>1.5°C CMIP5</cx:v>
            </cx:txData>
          </cx:tx>
          <cx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/>
              </a:solidFill>
            </a:ln>
          </cx:spPr>
          <cx:dataId val="0"/>
          <cx:layoutPr>
            <cx:visibility meanLine="1" meanMarker="0" nonoutliers="0"/>
            <cx:statistics quartileMethod="exclusive"/>
          </cx:layoutPr>
        </cx:series>
        <cx:series layoutId="boxWhisker" uniqueId="{00000001-3A1F-314D-96F3-FCEFF558ED6E}">
          <cx:tx>
            <cx:txData>
              <cx:f/>
              <cx:v>1.5°C CMIP6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/>
              </a:solidFill>
            </a:ln>
          </cx:spPr>
          <cx:dataId val="1"/>
          <cx:layoutPr>
            <cx:visibility meanLine="1" meanMarker="0" nonoutliers="0"/>
            <cx:statistics quartileMethod="exclusive"/>
          </cx:layoutPr>
        </cx:series>
        <cx:series layoutId="boxWhisker" uniqueId="{00000002-3A1F-314D-96F3-FCEFF558ED6E}">
          <cx:dataId val="2"/>
          <cx:layoutPr>
            <cx:statistics quartileMethod="exclusive"/>
          </cx:layoutPr>
        </cx:series>
        <cx:series layoutId="boxWhisker" uniqueId="{00000003-3A1F-314D-96F3-FCEFF558ED6E}">
          <cx:tx>
            <cx:txData>
              <cx:f/>
              <cx:v>2.0°C CMIP5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/>
              </a:solidFill>
            </a:ln>
          </cx:spPr>
          <cx:dataId val="3"/>
          <cx:layoutPr>
            <cx:visibility meanLine="1" meanMarker="0" nonoutliers="0" outliers="1"/>
            <cx:statistics quartileMethod="exclusive"/>
          </cx:layoutPr>
        </cx:series>
        <cx:series layoutId="boxWhisker" uniqueId="{00000004-3A1F-314D-96F3-FCEFF558ED6E}">
          <cx:tx>
            <cx:txData>
              <cx:f/>
              <cx:v>2.0°C CMIP6</cx:v>
            </cx:txData>
          </cx:tx>
          <cx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/>
              </a:solidFill>
            </a:ln>
          </cx:spPr>
          <cx:dataId val="4"/>
          <cx:layoutPr>
            <cx:visibility meanLine="1" meanMarker="0" nonoutliers="0"/>
            <cx:statistics quartileMethod="exclusive"/>
          </cx:layoutPr>
        </cx:series>
        <cx:series layoutId="boxWhisker" uniqueId="{00000005-3A1F-314D-96F3-FCEFF558ED6E}">
          <cx:dataId val="5"/>
          <cx:layoutPr>
            <cx:statistics quartileMethod="exclusive"/>
          </cx:layoutPr>
        </cx:series>
        <cx:series layoutId="boxWhisker" uniqueId="{00000006-3A1F-314D-96F3-FCEFF558ED6E}">
          <cx:tx>
            <cx:txData>
              <cx:f/>
              <cx:v>3.0°C CMIP5</cx:v>
            </cx:txData>
          </cx:tx>
          <cx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2"/>
              </a:solidFill>
            </a:ln>
          </cx:spPr>
          <cx:dataId val="6"/>
          <cx:layoutPr>
            <cx:visibility meanLine="1" meanMarker="0" nonoutliers="0"/>
            <cx:statistics quartileMethod="exclusive"/>
          </cx:layoutPr>
        </cx:series>
        <cx:series layoutId="boxWhisker" uniqueId="{00000007-3A1F-314D-96F3-FCEFF558ED6E}">
          <cx:tx>
            <cx:txData>
              <cx:f/>
              <cx:v>3.0°C CMIP6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/>
              </a:solidFill>
            </a:ln>
          </cx:spPr>
          <cx:dataId val="7"/>
          <cx:layoutPr>
            <cx:visibility meanLine="1" meanMarker="0" nonoutliers="0"/>
            <cx:statistics quartileMethod="exclusive"/>
          </cx:layoutPr>
        </cx:series>
        <cx:series layoutId="boxWhisker" uniqueId="{00000008-3A1F-314D-96F3-FCEFF558ED6E}">
          <cx:dataId val="8"/>
          <cx:layoutPr>
            <cx:statistics quartileMethod="exclusive"/>
          </cx:layoutPr>
        </cx:series>
        <cx:series layoutId="boxWhisker" uniqueId="{00000009-3A1F-314D-96F3-FCEFF558ED6E}">
          <cx:tx>
            <cx:txData>
              <cx:f/>
              <cx:v>4.0°C CMIP5</cx:v>
            </cx:txData>
          </cx:tx>
          <cx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tx1"/>
              </a:solidFill>
            </a:ln>
          </cx:spPr>
          <cx:dataId val="9"/>
          <cx:layoutPr>
            <cx:visibility meanLine="1" meanMarker="0" nonoutliers="0"/>
            <cx:statistics quartileMethod="exclusive"/>
          </cx:layoutPr>
        </cx:series>
        <cx:series layoutId="boxWhisker" uniqueId="{0000000A-3A1F-314D-96F3-FCEFF558ED6E}">
          <cx:tx>
            <cx:txData>
              <cx:f/>
              <cx:v>4.0°C CMIP6</cx:v>
            </cx:txData>
          </cx:tx>
          <cx:spPr>
            <a:solidFill>
              <a:schemeClr val="tx1">
                <a:lumMod val="75000"/>
                <a:lumOff val="25000"/>
              </a:schemeClr>
            </a:solidFill>
            <a:ln>
              <a:solidFill>
                <a:schemeClr val="tx1"/>
              </a:solidFill>
            </a:ln>
          </cx:spPr>
          <cx:dataId val="10"/>
          <cx:layoutPr>
            <cx:visibility meanLine="1" meanMarker="0" nonoutliers="0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5" min="0"/>
        <cx:title>
          <cx:tx>
            <cx:txData>
              <cx:v>Mean temperature change relative to 1991-2020 (°C)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/>
              </a:pPr>
              <a:r>
                <a:rPr lang="de-DE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Mean temperature change relative to 1991-2020 (°C)</a:t>
              </a:r>
            </a:p>
          </cx:txPr>
        </cx:title>
        <cx:majorGridlines/>
        <cx:majorTickMarks type="out"/>
        <cx:tickLabels/>
        <cx:numFmt formatCode="0.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de-DE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r" align="ctr" overlay="1">
      <cx:spPr>
        <a:solidFill>
          <a:schemeClr val="bg1"/>
        </a:solidFill>
        <a:ln>
          <a:solidFill>
            <a:srgbClr val="DADADA"/>
          </a:solidFill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/>
          </a:pPr>
          <a:endParaRPr lang="de-DE" sz="12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2446655-1AB5-4E4D-8BAB-0B0C1FAA8780}">
  <sheetPr/>
  <sheetViews>
    <sheetView zoomScale="126" workbookViewId="0"/>
  </sheetViews>
  <pageMargins left="0.7" right="0.7" top="0.78740157499999996" bottom="0.78740157499999996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E423599-8E27-8042-B5B6-09ACCA2F49E9}">
  <sheetPr/>
  <sheetViews>
    <sheetView zoomScale="95" workbookViewId="0"/>
  </sheetViews>
  <pageMargins left="0.7" right="0.7" top="0.78740157499999996" bottom="0.78740157499999996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850550D-49AF-3142-94C0-C0EB13DCE9E3}">
  <sheetPr/>
  <sheetViews>
    <sheetView zoomScale="95" workbookViewId="0"/>
  </sheetViews>
  <pageMargins left="0.7" right="0.7" top="0.78740157499999996" bottom="0.78740157499999996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1644377-E7AA-444F-8468-BD962E936055}">
  <sheetPr/>
  <sheetViews>
    <sheetView tabSelected="1" zoomScale="136" workbookViewId="0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17381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 1">
              <a:extLst>
                <a:ext uri="{FF2B5EF4-FFF2-40B4-BE49-F238E27FC236}">
                  <a16:creationId xmlns:a16="http://schemas.microsoft.com/office/drawing/2014/main" id="{8B0006D6-9B94-C729-F109-855C29EBE831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hteck 1">
          <a:extLst xmlns:a="http://schemas.openxmlformats.org/drawingml/2006/main">
            <a:ext uri="{FF2B5EF4-FFF2-40B4-BE49-F238E27FC236}">
              <a16:creationId xmlns:a16="http://schemas.microsoft.com/office/drawing/2014/main" id="{1C3D83DA-FA52-75F9-2A92-45AD68849814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313333" cy="6017381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de-DE" sz="1100"/>
            <a:t>Dieses Diagramm ist in Ihrer Version von Excel nicht verfügbar.
Wenn Sie diese Form bearbeiten oder diese Arbeitsmappe in einem anderen Dateiformat speichern, wird das Diagramm dauerhaft beschädigt.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4421" cy="6015789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 1">
              <a:extLst>
                <a:ext uri="{FF2B5EF4-FFF2-40B4-BE49-F238E27FC236}">
                  <a16:creationId xmlns:a16="http://schemas.microsoft.com/office/drawing/2014/main" id="{92EE94C2-7835-77C8-F3E3-76CE0548CBEA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hteck 1">
          <a:extLst xmlns:a="http://schemas.openxmlformats.org/drawingml/2006/main">
            <a:ext uri="{FF2B5EF4-FFF2-40B4-BE49-F238E27FC236}">
              <a16:creationId xmlns:a16="http://schemas.microsoft.com/office/drawing/2014/main" id="{DA60A558-EA56-77B5-EB3E-A0F7C3B872E2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304421" cy="6015789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de-DE" sz="1100"/>
            <a:t>Dieses Diagramm ist in Ihrer Version von Excel nicht verfügbar.
Wenn Sie diese Form bearbeiten oder diese Arbeitsmappe in einem anderen Dateiformat speichern, wird das Diagramm dauerhaft beschädigt.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4421" cy="6015789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 1">
              <a:extLst>
                <a:ext uri="{FF2B5EF4-FFF2-40B4-BE49-F238E27FC236}">
                  <a16:creationId xmlns:a16="http://schemas.microsoft.com/office/drawing/2014/main" id="{3DB93000-C289-11B5-B888-9442A36C4C24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hteck 1">
          <a:extLst xmlns:a="http://schemas.openxmlformats.org/drawingml/2006/main">
            <a:ext uri="{FF2B5EF4-FFF2-40B4-BE49-F238E27FC236}">
              <a16:creationId xmlns:a16="http://schemas.microsoft.com/office/drawing/2014/main" id="{4456A8B6-6876-22DF-0554-59C6CE437AAA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304421" cy="6015789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de-DE" sz="1100"/>
            <a:t>Dieses Diagramm ist in Ihrer Version von Excel nicht verfügbar.
Wenn Sie diese Form bearbeiten oder diese Arbeitsmappe in einem anderen Dateiformat speichern, wird das Diagramm dauerhaft beschädigt.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19559" cy="6032500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 1">
              <a:extLst>
                <a:ext uri="{FF2B5EF4-FFF2-40B4-BE49-F238E27FC236}">
                  <a16:creationId xmlns:a16="http://schemas.microsoft.com/office/drawing/2014/main" id="{CE6A17DE-8724-6B01-4190-DD725C052D42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hteck 1">
          <a:extLst xmlns:a="http://schemas.openxmlformats.org/drawingml/2006/main">
            <a:ext uri="{FF2B5EF4-FFF2-40B4-BE49-F238E27FC236}">
              <a16:creationId xmlns:a16="http://schemas.microsoft.com/office/drawing/2014/main" id="{E70BC53E-9EF5-3F9A-D818-BFFC4A260A77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319559" cy="6032500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de-DE" sz="1100"/>
            <a:t>Dieses Diagramm ist in Ihrer Version von Excel nicht verfügbar.
Wenn Sie diese Form bearbeiten oder diese Arbeitsmappe in einem anderen Dateiformat speichern, wird das Diagramm dauerhaft beschädigt.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becsi/Desktop/Arbeit/Qgis/data/AAR2/GWLs/GWLs_CMIP5_OEKS15.xlsx" TargetMode="External"/><Relationship Id="rId1" Type="http://schemas.openxmlformats.org/officeDocument/2006/relationships/externalLinkPath" Target="GWLs_CMIP5_OEKS1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becsi/Desktop/Arbeit/Qgis/data/AAR2/GWLs/GWLs_CMIP5_all_models.xlsx" TargetMode="External"/><Relationship Id="rId1" Type="http://schemas.openxmlformats.org/officeDocument/2006/relationships/externalLinkPath" Target="GWLs_CMIP5_all_mode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okup_table"/>
      <sheetName val="Tabelle2"/>
      <sheetName val="Tabelle1"/>
      <sheetName val="year_of_reaching_gwl_all_mods"/>
      <sheetName val="year_of _reaching_gwl_CM5_CM6"/>
      <sheetName val="year_of_reaching_diff"/>
      <sheetName val="gwl_date"/>
      <sheetName val="gwl_rcps"/>
      <sheetName val="gwl_ccs_AUT"/>
      <sheetName val="ccs_aut_gcm vs. ccs_oeks15"/>
      <sheetName val="ccs_aut_oeks gwl vs rcp"/>
    </sheetNames>
    <sheetDataSet>
      <sheetData sheetId="0"/>
      <sheetData sheetId="1">
        <row r="3">
          <cell r="C3">
            <v>2024</v>
          </cell>
        </row>
        <row r="4">
          <cell r="C4">
            <v>2024</v>
          </cell>
        </row>
        <row r="5">
          <cell r="C5">
            <v>2024</v>
          </cell>
        </row>
        <row r="6">
          <cell r="C6">
            <v>2024</v>
          </cell>
        </row>
        <row r="7">
          <cell r="C7">
            <v>2023</v>
          </cell>
        </row>
        <row r="8">
          <cell r="C8">
            <v>2023</v>
          </cell>
        </row>
        <row r="9">
          <cell r="C9">
            <v>2017</v>
          </cell>
        </row>
        <row r="10">
          <cell r="C10">
            <v>2038</v>
          </cell>
          <cell r="D10">
            <v>2059</v>
          </cell>
        </row>
        <row r="11">
          <cell r="C11">
            <v>2038</v>
          </cell>
          <cell r="D11">
            <v>2059</v>
          </cell>
        </row>
        <row r="12">
          <cell r="C12">
            <v>2038</v>
          </cell>
          <cell r="D12">
            <v>2059</v>
          </cell>
        </row>
        <row r="13">
          <cell r="C13">
            <v>2023</v>
          </cell>
          <cell r="D13">
            <v>2045</v>
          </cell>
        </row>
        <row r="14">
          <cell r="C14">
            <v>2023</v>
          </cell>
          <cell r="D14">
            <v>2045</v>
          </cell>
        </row>
        <row r="15">
          <cell r="C15">
            <v>2023</v>
          </cell>
          <cell r="D15">
            <v>2045</v>
          </cell>
        </row>
        <row r="16">
          <cell r="C16">
            <v>2029</v>
          </cell>
          <cell r="D16">
            <v>2044</v>
          </cell>
          <cell r="E16">
            <v>2079</v>
          </cell>
        </row>
        <row r="17">
          <cell r="C17">
            <v>2029</v>
          </cell>
          <cell r="D17">
            <v>2044</v>
          </cell>
          <cell r="E17">
            <v>2079</v>
          </cell>
        </row>
        <row r="18">
          <cell r="C18">
            <v>2017</v>
          </cell>
          <cell r="D18">
            <v>2034</v>
          </cell>
          <cell r="E18">
            <v>2078</v>
          </cell>
        </row>
        <row r="19">
          <cell r="C19">
            <v>2017</v>
          </cell>
          <cell r="D19">
            <v>2034</v>
          </cell>
          <cell r="E19">
            <v>2078</v>
          </cell>
        </row>
        <row r="20">
          <cell r="C20">
            <v>2023</v>
          </cell>
          <cell r="D20">
            <v>2045</v>
          </cell>
        </row>
        <row r="21">
          <cell r="C21">
            <v>2023</v>
          </cell>
          <cell r="D21">
            <v>2045</v>
          </cell>
        </row>
        <row r="22">
          <cell r="C22">
            <v>2031</v>
          </cell>
          <cell r="D22">
            <v>2046</v>
          </cell>
          <cell r="E22">
            <v>2068</v>
          </cell>
          <cell r="F22">
            <v>2088</v>
          </cell>
        </row>
        <row r="23">
          <cell r="C23">
            <v>2031</v>
          </cell>
          <cell r="D23">
            <v>2046</v>
          </cell>
          <cell r="E23">
            <v>2068</v>
          </cell>
          <cell r="F23">
            <v>2088</v>
          </cell>
        </row>
        <row r="24">
          <cell r="C24">
            <v>2031</v>
          </cell>
          <cell r="D24">
            <v>2046</v>
          </cell>
          <cell r="E24">
            <v>2068</v>
          </cell>
          <cell r="F24">
            <v>2088</v>
          </cell>
        </row>
        <row r="25">
          <cell r="C25">
            <v>2019</v>
          </cell>
          <cell r="D25">
            <v>2035</v>
          </cell>
          <cell r="E25">
            <v>2061</v>
          </cell>
        </row>
        <row r="26">
          <cell r="C26">
            <v>2019</v>
          </cell>
          <cell r="D26">
            <v>2035</v>
          </cell>
          <cell r="E26">
            <v>2061</v>
          </cell>
        </row>
        <row r="27">
          <cell r="C27">
            <v>2020</v>
          </cell>
          <cell r="D27">
            <v>2036</v>
          </cell>
          <cell r="E27">
            <v>2062</v>
          </cell>
          <cell r="F27">
            <v>2083</v>
          </cell>
        </row>
        <row r="28">
          <cell r="C28">
            <v>2024</v>
          </cell>
          <cell r="D28">
            <v>2036</v>
          </cell>
          <cell r="E28">
            <v>2055</v>
          </cell>
          <cell r="F28">
            <v>2072</v>
          </cell>
        </row>
        <row r="29">
          <cell r="C29">
            <v>2024</v>
          </cell>
          <cell r="D29">
            <v>2036</v>
          </cell>
          <cell r="E29">
            <v>2055</v>
          </cell>
          <cell r="F29">
            <v>2072</v>
          </cell>
        </row>
        <row r="30">
          <cell r="C30">
            <v>2016</v>
          </cell>
          <cell r="D30">
            <v>2031</v>
          </cell>
          <cell r="E30">
            <v>2051</v>
          </cell>
          <cell r="F30">
            <v>2067</v>
          </cell>
        </row>
        <row r="31">
          <cell r="C31">
            <v>2016</v>
          </cell>
          <cell r="D31">
            <v>2031</v>
          </cell>
          <cell r="E31">
            <v>2051</v>
          </cell>
          <cell r="F31">
            <v>2067</v>
          </cell>
        </row>
        <row r="32">
          <cell r="C32">
            <v>2018</v>
          </cell>
          <cell r="D32">
            <v>2038</v>
          </cell>
          <cell r="E32">
            <v>2062</v>
          </cell>
          <cell r="F32">
            <v>2082</v>
          </cell>
        </row>
        <row r="33">
          <cell r="C33">
            <v>2018</v>
          </cell>
          <cell r="D33">
            <v>2038</v>
          </cell>
          <cell r="E33">
            <v>2062</v>
          </cell>
          <cell r="F33">
            <v>2082</v>
          </cell>
        </row>
      </sheetData>
      <sheetData sheetId="2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2"/>
    </sheetNames>
    <sheetDataSet>
      <sheetData sheetId="0">
        <row r="3">
          <cell r="B3">
            <v>2008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A8D8-38A6-D64C-8995-1DD32E209727}">
  <dimension ref="A1:X45"/>
  <sheetViews>
    <sheetView workbookViewId="0">
      <selection activeCell="A12" sqref="A1:X40"/>
    </sheetView>
  </sheetViews>
  <sheetFormatPr baseColWidth="10" defaultRowHeight="16" x14ac:dyDescent="0.2"/>
  <cols>
    <col min="1" max="1" width="47" bestFit="1" customWidth="1"/>
    <col min="2" max="2" width="6.83203125" bestFit="1" customWidth="1"/>
    <col min="24" max="24" width="12.1640625" bestFit="1" customWidth="1"/>
  </cols>
  <sheetData>
    <row r="1" spans="1:24" x14ac:dyDescent="0.2">
      <c r="A1" s="1" t="s">
        <v>0</v>
      </c>
      <c r="B1" s="1"/>
      <c r="C1" s="5" t="s">
        <v>1</v>
      </c>
      <c r="D1" s="5"/>
      <c r="E1" s="5"/>
      <c r="F1" s="5"/>
      <c r="G1" s="5" t="s">
        <v>2</v>
      </c>
      <c r="H1" s="5"/>
      <c r="I1" s="5"/>
      <c r="J1" s="5"/>
      <c r="K1" s="5" t="s">
        <v>114</v>
      </c>
      <c r="L1" s="5"/>
      <c r="M1" s="5"/>
      <c r="N1" s="5"/>
      <c r="O1" s="5" t="s">
        <v>158</v>
      </c>
      <c r="P1" s="5"/>
      <c r="Q1" s="5"/>
      <c r="R1" s="5"/>
      <c r="S1" s="5" t="s">
        <v>159</v>
      </c>
      <c r="T1" s="5"/>
      <c r="U1" s="5"/>
      <c r="V1" s="5"/>
    </row>
    <row r="2" spans="1:24" x14ac:dyDescent="0.2">
      <c r="A2" s="1" t="s">
        <v>3</v>
      </c>
      <c r="B2" s="1" t="s">
        <v>146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4</v>
      </c>
      <c r="L2" s="1" t="s">
        <v>5</v>
      </c>
      <c r="M2" s="1" t="s">
        <v>6</v>
      </c>
      <c r="N2" s="1" t="s">
        <v>7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4</v>
      </c>
      <c r="T2" s="1" t="s">
        <v>5</v>
      </c>
      <c r="U2" s="1" t="s">
        <v>6</v>
      </c>
      <c r="V2" s="1" t="s">
        <v>7</v>
      </c>
    </row>
    <row r="3" spans="1:24" x14ac:dyDescent="0.2">
      <c r="A3" t="s">
        <v>9</v>
      </c>
      <c r="B3" t="s">
        <v>147</v>
      </c>
      <c r="C3">
        <v>2013</v>
      </c>
      <c r="D3">
        <v>2025</v>
      </c>
      <c r="G3" t="s">
        <v>10</v>
      </c>
      <c r="H3" t="s">
        <v>11</v>
      </c>
      <c r="K3" s="2">
        <v>0.39268916094745798</v>
      </c>
      <c r="L3" s="2">
        <v>1.12528774120191</v>
      </c>
      <c r="M3" s="2"/>
      <c r="N3" s="2"/>
      <c r="O3" s="2">
        <f>MEDIAN(K3:K40)</f>
        <v>0.70779087429752097</v>
      </c>
      <c r="P3" s="2">
        <f>MEDIAN(L3:L40)</f>
        <v>1.2996490999999999</v>
      </c>
      <c r="Q3" s="2">
        <f>MEDIAN(M3:M40)</f>
        <v>2.5343534742558251</v>
      </c>
      <c r="R3" s="2">
        <f>MEDIAN(N3:N40)</f>
        <v>3.52027187781992</v>
      </c>
      <c r="S3" s="2">
        <f t="shared" ref="S3:V7" si="0">O3*$X$14</f>
        <v>0.62994520277878241</v>
      </c>
      <c r="T3" s="2">
        <f t="shared" si="0"/>
        <v>1.1567084933856</v>
      </c>
      <c r="U3" s="2">
        <f t="shared" si="0"/>
        <v>2.2556151417432724</v>
      </c>
      <c r="V3" s="2">
        <f t="shared" si="0"/>
        <v>3.1330982956097739</v>
      </c>
      <c r="W3" t="s">
        <v>115</v>
      </c>
    </row>
    <row r="4" spans="1:24" x14ac:dyDescent="0.2">
      <c r="A4" t="s">
        <v>14</v>
      </c>
      <c r="B4" t="s">
        <v>147</v>
      </c>
      <c r="C4">
        <v>2019</v>
      </c>
      <c r="D4">
        <v>2038</v>
      </c>
      <c r="G4" t="s">
        <v>15</v>
      </c>
      <c r="H4" t="s">
        <v>16</v>
      </c>
      <c r="K4" s="2">
        <v>0.5449524</v>
      </c>
      <c r="L4" s="2">
        <v>1.2996490999999999</v>
      </c>
      <c r="M4" s="2"/>
      <c r="N4" s="2"/>
      <c r="O4">
        <f>_xlfn.PERCENTILE.INC(K3:K40, 0.1)</f>
        <v>0.30939995094586498</v>
      </c>
      <c r="P4">
        <f>_xlfn.PERCENTILE.INC(L3:L40, 0.1)</f>
        <v>0.91385210955591345</v>
      </c>
      <c r="Q4">
        <f>_xlfn.PERCENTILE.INC(M3:M40, 0.1)</f>
        <v>2.046051162747907</v>
      </c>
      <c r="R4">
        <f>_xlfn.PERCENTILE.INC(N3:N40, 0.1)</f>
        <v>3.339906805131224</v>
      </c>
      <c r="S4" s="2">
        <f t="shared" si="0"/>
        <v>0.27537090674103498</v>
      </c>
      <c r="T4" s="2">
        <f t="shared" si="0"/>
        <v>0.81334299913851593</v>
      </c>
      <c r="U4" s="2">
        <f t="shared" si="0"/>
        <v>1.8210182716642414</v>
      </c>
      <c r="V4" s="2">
        <f t="shared" si="0"/>
        <v>2.9725704950756717</v>
      </c>
      <c r="W4" t="s">
        <v>154</v>
      </c>
    </row>
    <row r="5" spans="1:24" x14ac:dyDescent="0.2">
      <c r="A5" t="s">
        <v>24</v>
      </c>
      <c r="B5" t="s">
        <v>148</v>
      </c>
      <c r="C5">
        <v>2042</v>
      </c>
      <c r="G5" t="s">
        <v>25</v>
      </c>
      <c r="K5" s="2">
        <v>0.50765736677745898</v>
      </c>
      <c r="L5" s="2"/>
      <c r="M5" s="2"/>
      <c r="N5" s="2"/>
      <c r="O5">
        <f>_xlfn.PERCENTILE.INC(K3:K40, 0.25)</f>
        <v>0.42373448052118845</v>
      </c>
      <c r="P5">
        <f t="shared" ref="P5:R5" si="1">_xlfn.PERCENTILE.INC(L3:L40, 0.25)</f>
        <v>0.99799558046758508</v>
      </c>
      <c r="Q5">
        <f t="shared" si="1"/>
        <v>2.3017558150316049</v>
      </c>
      <c r="R5">
        <f t="shared" si="1"/>
        <v>3.4588945566587102</v>
      </c>
      <c r="S5" s="2">
        <f t="shared" si="0"/>
        <v>0.37713046741554607</v>
      </c>
      <c r="T5" s="2">
        <f t="shared" si="0"/>
        <v>0.8882320345454382</v>
      </c>
      <c r="U5" s="2">
        <f t="shared" si="0"/>
        <v>2.048599503471169</v>
      </c>
      <c r="V5" s="2">
        <f t="shared" si="0"/>
        <v>3.0784714977391587</v>
      </c>
      <c r="W5" t="s">
        <v>155</v>
      </c>
    </row>
    <row r="6" spans="1:24" x14ac:dyDescent="0.2">
      <c r="A6" t="s">
        <v>39</v>
      </c>
      <c r="B6" t="s">
        <v>148</v>
      </c>
      <c r="C6">
        <v>2014</v>
      </c>
      <c r="D6">
        <v>2027</v>
      </c>
      <c r="G6" t="s">
        <v>40</v>
      </c>
      <c r="H6" t="s">
        <v>29</v>
      </c>
      <c r="K6" s="2">
        <v>0.44814990008318001</v>
      </c>
      <c r="L6" s="2">
        <v>0.91811225325973</v>
      </c>
      <c r="M6" s="2"/>
      <c r="N6" s="2"/>
      <c r="O6">
        <f>_xlfn.PERCENTILE.INC(K3:K40, 0.75)</f>
        <v>1.11225858012673</v>
      </c>
      <c r="P6">
        <f t="shared" ref="P6:R6" si="2">_xlfn.PERCENTILE.INC(L3:L40, 0.75)</f>
        <v>1.8485991304645699</v>
      </c>
      <c r="Q6">
        <f t="shared" si="2"/>
        <v>2.99392916888893</v>
      </c>
      <c r="R6">
        <f t="shared" si="2"/>
        <v>3.7640512307108902</v>
      </c>
      <c r="S6" s="2">
        <f t="shared" si="0"/>
        <v>0.98992793245007171</v>
      </c>
      <c r="T6" s="2">
        <f t="shared" si="0"/>
        <v>1.6452828036995548</v>
      </c>
      <c r="U6" s="2">
        <f t="shared" si="0"/>
        <v>2.6646448631778501</v>
      </c>
      <c r="V6" s="2">
        <f t="shared" si="0"/>
        <v>3.3500658201523836</v>
      </c>
      <c r="W6" t="s">
        <v>156</v>
      </c>
    </row>
    <row r="7" spans="1:24" x14ac:dyDescent="0.2">
      <c r="A7" t="s">
        <v>36</v>
      </c>
      <c r="B7" t="s">
        <v>148</v>
      </c>
      <c r="C7">
        <v>2010</v>
      </c>
      <c r="D7">
        <v>2021</v>
      </c>
      <c r="G7" t="s">
        <v>37</v>
      </c>
      <c r="H7" t="s">
        <v>38</v>
      </c>
      <c r="K7" s="2">
        <v>0.214749413949505</v>
      </c>
      <c r="L7" s="2">
        <v>0.45363177546752198</v>
      </c>
      <c r="M7" s="2"/>
      <c r="N7" s="2"/>
      <c r="O7">
        <f>_xlfn.PERCENTILE.INC(K3:K40, 0.9)</f>
        <v>1.4237366892492251</v>
      </c>
      <c r="P7">
        <f t="shared" ref="P7:R7" si="3">_xlfn.PERCENTILE.INC(L3:L40, 0.9)</f>
        <v>2.046066781590504</v>
      </c>
      <c r="Q7">
        <f t="shared" si="3"/>
        <v>3.3087344173273978</v>
      </c>
      <c r="R7">
        <f t="shared" si="3"/>
        <v>4.3098857941212074</v>
      </c>
      <c r="S7" s="2">
        <f t="shared" si="0"/>
        <v>1.2671484332188383</v>
      </c>
      <c r="T7" s="2">
        <f t="shared" si="0"/>
        <v>1.8210321726840542</v>
      </c>
      <c r="U7" s="2">
        <f t="shared" si="0"/>
        <v>2.9448265711720616</v>
      </c>
      <c r="V7" s="2">
        <f t="shared" si="0"/>
        <v>3.8358673149405806</v>
      </c>
      <c r="W7" t="s">
        <v>157</v>
      </c>
    </row>
    <row r="8" spans="1:24" x14ac:dyDescent="0.2">
      <c r="A8" t="s">
        <v>34</v>
      </c>
      <c r="B8" t="s">
        <v>148</v>
      </c>
      <c r="C8">
        <v>2028</v>
      </c>
      <c r="D8">
        <v>2060</v>
      </c>
      <c r="G8" t="s">
        <v>19</v>
      </c>
      <c r="H8" t="s">
        <v>26</v>
      </c>
      <c r="K8" s="2">
        <v>0.68443506444989699</v>
      </c>
      <c r="L8" s="2">
        <v>1.4934826904101901</v>
      </c>
      <c r="M8" s="2"/>
      <c r="N8" s="2"/>
    </row>
    <row r="9" spans="1:24" x14ac:dyDescent="0.2">
      <c r="A9" t="s">
        <v>32</v>
      </c>
      <c r="B9" t="s">
        <v>148</v>
      </c>
      <c r="C9">
        <v>2018</v>
      </c>
      <c r="D9">
        <v>2031</v>
      </c>
      <c r="G9" t="s">
        <v>33</v>
      </c>
      <c r="H9" t="s">
        <v>17</v>
      </c>
      <c r="K9" s="2">
        <v>0.71423186692603902</v>
      </c>
      <c r="L9" s="2">
        <v>0.94311847540844496</v>
      </c>
      <c r="M9" s="2"/>
      <c r="N9" s="2"/>
    </row>
    <row r="10" spans="1:24" x14ac:dyDescent="0.2">
      <c r="A10" t="s">
        <v>49</v>
      </c>
      <c r="B10" t="s">
        <v>148</v>
      </c>
      <c r="C10">
        <v>2020</v>
      </c>
      <c r="D10">
        <v>2039</v>
      </c>
      <c r="G10" t="s">
        <v>50</v>
      </c>
      <c r="H10" t="s">
        <v>28</v>
      </c>
      <c r="K10" s="2">
        <v>0.48637999999999998</v>
      </c>
      <c r="L10" s="2">
        <v>0.99413149999999995</v>
      </c>
      <c r="M10" s="2"/>
      <c r="N10" s="2"/>
    </row>
    <row r="11" spans="1:24" x14ac:dyDescent="0.2">
      <c r="A11" t="s">
        <v>53</v>
      </c>
      <c r="B11" t="s">
        <v>148</v>
      </c>
      <c r="K11" s="2"/>
      <c r="L11" s="2"/>
      <c r="M11" s="2"/>
      <c r="N11" s="2"/>
    </row>
    <row r="12" spans="1:24" x14ac:dyDescent="0.2">
      <c r="A12" t="s">
        <v>54</v>
      </c>
      <c r="B12" t="s">
        <v>148</v>
      </c>
      <c r="K12" s="2"/>
      <c r="L12" s="2"/>
      <c r="M12" s="2"/>
      <c r="N12" s="2"/>
    </row>
    <row r="13" spans="1:24" x14ac:dyDescent="0.2">
      <c r="A13" t="s">
        <v>55</v>
      </c>
      <c r="B13" t="s">
        <v>149</v>
      </c>
      <c r="C13">
        <v>2036</v>
      </c>
      <c r="D13">
        <v>2058</v>
      </c>
      <c r="G13" t="s">
        <v>56</v>
      </c>
      <c r="H13" t="s">
        <v>57</v>
      </c>
      <c r="K13" s="2">
        <v>1.24800717137679</v>
      </c>
      <c r="L13" s="2">
        <v>1.79025508687392</v>
      </c>
      <c r="M13" s="2"/>
      <c r="N13" s="2"/>
      <c r="X13" t="s">
        <v>153</v>
      </c>
    </row>
    <row r="14" spans="1:24" x14ac:dyDescent="0.2">
      <c r="A14" t="s">
        <v>70</v>
      </c>
      <c r="B14" t="s">
        <v>149</v>
      </c>
      <c r="C14">
        <v>2014</v>
      </c>
      <c r="D14">
        <v>2025</v>
      </c>
      <c r="E14">
        <v>2050</v>
      </c>
      <c r="F14">
        <v>2084</v>
      </c>
      <c r="G14" t="s">
        <v>40</v>
      </c>
      <c r="H14" t="s">
        <v>11</v>
      </c>
      <c r="I14" t="s">
        <v>52</v>
      </c>
      <c r="J14" t="s">
        <v>71</v>
      </c>
      <c r="K14" s="2">
        <v>0.39986685293692897</v>
      </c>
      <c r="L14" s="2">
        <v>1.07768163327819</v>
      </c>
      <c r="M14" s="2">
        <v>2.4992855354591899</v>
      </c>
      <c r="N14" s="2">
        <v>3.4649832266348399</v>
      </c>
      <c r="X14">
        <v>0.89001600000000003</v>
      </c>
    </row>
    <row r="15" spans="1:24" x14ac:dyDescent="0.2">
      <c r="A15" t="s">
        <v>67</v>
      </c>
      <c r="B15" t="s">
        <v>149</v>
      </c>
      <c r="C15">
        <v>2010</v>
      </c>
      <c r="D15">
        <v>2021</v>
      </c>
      <c r="E15">
        <v>2045</v>
      </c>
      <c r="F15">
        <v>2081</v>
      </c>
      <c r="G15" t="s">
        <v>37</v>
      </c>
      <c r="H15" t="s">
        <v>38</v>
      </c>
      <c r="I15" t="s">
        <v>68</v>
      </c>
      <c r="J15" t="s">
        <v>69</v>
      </c>
      <c r="K15" s="2">
        <v>0.247648154364804</v>
      </c>
      <c r="L15" s="2">
        <v>0.91101201375336904</v>
      </c>
      <c r="M15" s="2">
        <v>1.9685270945232201</v>
      </c>
      <c r="N15" s="2">
        <v>3.1466245015463401</v>
      </c>
    </row>
    <row r="16" spans="1:24" x14ac:dyDescent="0.2">
      <c r="A16" t="s">
        <v>64</v>
      </c>
      <c r="B16" t="s">
        <v>149</v>
      </c>
      <c r="C16">
        <v>2031</v>
      </c>
      <c r="D16">
        <v>2049</v>
      </c>
      <c r="E16">
        <v>2085</v>
      </c>
      <c r="G16" t="s">
        <v>17</v>
      </c>
      <c r="H16" t="s">
        <v>65</v>
      </c>
      <c r="I16" t="s">
        <v>66</v>
      </c>
      <c r="K16" s="2">
        <v>0.79185877975170005</v>
      </c>
      <c r="L16" s="2">
        <v>0.94604524693873704</v>
      </c>
      <c r="M16" s="2">
        <v>1.9276448337221399</v>
      </c>
      <c r="N16" s="2"/>
    </row>
    <row r="17" spans="1:14" x14ac:dyDescent="0.2">
      <c r="A17" t="s">
        <v>62</v>
      </c>
      <c r="B17" t="s">
        <v>149</v>
      </c>
      <c r="C17">
        <v>2020</v>
      </c>
      <c r="D17">
        <v>2034</v>
      </c>
      <c r="E17">
        <v>2063</v>
      </c>
      <c r="G17" t="s">
        <v>50</v>
      </c>
      <c r="H17" t="s">
        <v>63</v>
      </c>
      <c r="I17" t="s">
        <v>51</v>
      </c>
      <c r="K17" s="2">
        <v>0.65928880106152898</v>
      </c>
      <c r="L17" s="2">
        <v>1.27930423687614</v>
      </c>
      <c r="M17" s="2">
        <v>2.4659900553596299</v>
      </c>
      <c r="N17" s="2"/>
    </row>
    <row r="18" spans="1:14" x14ac:dyDescent="0.2">
      <c r="A18" t="s">
        <v>76</v>
      </c>
      <c r="B18" t="s">
        <v>149</v>
      </c>
      <c r="C18">
        <v>2032</v>
      </c>
      <c r="D18">
        <v>2050</v>
      </c>
      <c r="G18" t="s">
        <v>31</v>
      </c>
      <c r="H18" t="s">
        <v>52</v>
      </c>
      <c r="K18" s="2">
        <v>0.99720703714845305</v>
      </c>
      <c r="L18" s="2">
        <v>1.6772889300680101</v>
      </c>
      <c r="M18" s="2"/>
      <c r="N18" s="2"/>
    </row>
    <row r="19" spans="1:14" x14ac:dyDescent="0.2">
      <c r="A19" t="s">
        <v>77</v>
      </c>
      <c r="B19" t="s">
        <v>149</v>
      </c>
      <c r="C19">
        <v>2032</v>
      </c>
      <c r="D19">
        <v>2050</v>
      </c>
      <c r="G19" t="s">
        <v>31</v>
      </c>
      <c r="H19" t="s">
        <v>52</v>
      </c>
      <c r="K19" s="2">
        <v>0.98323817518911405</v>
      </c>
      <c r="L19" s="2">
        <v>1.65557634817044</v>
      </c>
      <c r="M19" s="2"/>
      <c r="N19" s="2"/>
    </row>
    <row r="20" spans="1:14" x14ac:dyDescent="0.2">
      <c r="A20" t="s">
        <v>81</v>
      </c>
      <c r="B20" t="s">
        <v>149</v>
      </c>
      <c r="C20">
        <v>2019</v>
      </c>
      <c r="D20">
        <v>2034</v>
      </c>
      <c r="E20">
        <v>2066</v>
      </c>
      <c r="G20" t="s">
        <v>15</v>
      </c>
      <c r="H20" t="s">
        <v>63</v>
      </c>
      <c r="I20" t="s">
        <v>61</v>
      </c>
      <c r="K20" s="2">
        <v>0.52504269999999997</v>
      </c>
      <c r="L20" s="2">
        <v>1.4451324999999999</v>
      </c>
      <c r="M20" s="2">
        <v>2.7629134999999998</v>
      </c>
      <c r="N20" s="2"/>
    </row>
    <row r="21" spans="1:14" x14ac:dyDescent="0.2">
      <c r="A21" t="s">
        <v>82</v>
      </c>
      <c r="B21" t="s">
        <v>149</v>
      </c>
      <c r="C21">
        <v>2056</v>
      </c>
      <c r="D21">
        <v>2086</v>
      </c>
      <c r="G21" t="s">
        <v>58</v>
      </c>
      <c r="H21" t="s">
        <v>74</v>
      </c>
      <c r="K21" s="2">
        <v>1.6532092765525299</v>
      </c>
      <c r="L21" s="2">
        <v>2.1603128362584698</v>
      </c>
      <c r="M21" s="2"/>
      <c r="N21" s="2"/>
    </row>
    <row r="22" spans="1:14" x14ac:dyDescent="0.2">
      <c r="A22" t="s">
        <v>83</v>
      </c>
      <c r="B22" t="s">
        <v>149</v>
      </c>
      <c r="C22">
        <v>2047</v>
      </c>
      <c r="D22">
        <v>2079</v>
      </c>
      <c r="G22" t="s">
        <v>78</v>
      </c>
      <c r="H22" t="s">
        <v>48</v>
      </c>
      <c r="K22" s="2">
        <v>1.4766804064679699</v>
      </c>
      <c r="L22" s="2">
        <v>1.9302608195684401</v>
      </c>
      <c r="M22" s="2"/>
      <c r="N22" s="2"/>
    </row>
    <row r="23" spans="1:14" x14ac:dyDescent="0.2">
      <c r="A23" t="s">
        <v>86</v>
      </c>
      <c r="B23" t="s">
        <v>150</v>
      </c>
      <c r="C23">
        <v>2033</v>
      </c>
      <c r="D23">
        <v>2047</v>
      </c>
      <c r="E23">
        <v>2075</v>
      </c>
      <c r="G23" t="s">
        <v>75</v>
      </c>
      <c r="H23" t="s">
        <v>78</v>
      </c>
      <c r="I23" t="s">
        <v>87</v>
      </c>
      <c r="K23" s="2">
        <v>0.99175239911429003</v>
      </c>
      <c r="L23" s="2">
        <v>2.0308371339899698</v>
      </c>
      <c r="M23" s="2">
        <v>3.1576496725510599</v>
      </c>
      <c r="N23" s="2"/>
    </row>
    <row r="24" spans="1:14" x14ac:dyDescent="0.2">
      <c r="A24" t="s">
        <v>94</v>
      </c>
      <c r="B24" t="s">
        <v>150</v>
      </c>
      <c r="C24">
        <v>2014</v>
      </c>
      <c r="D24">
        <v>2024</v>
      </c>
      <c r="E24">
        <v>2044</v>
      </c>
      <c r="F24">
        <v>2060</v>
      </c>
      <c r="G24" t="s">
        <v>40</v>
      </c>
      <c r="H24" t="s">
        <v>30</v>
      </c>
      <c r="I24" t="s">
        <v>41</v>
      </c>
      <c r="J24" t="s">
        <v>26</v>
      </c>
      <c r="K24" s="2">
        <v>0.37115174752692598</v>
      </c>
      <c r="L24" s="2">
        <v>1.11234708715366</v>
      </c>
      <c r="M24" s="2">
        <v>2.2924630200421401</v>
      </c>
      <c r="N24" s="2">
        <v>3.8095987673158902</v>
      </c>
    </row>
    <row r="25" spans="1:14" x14ac:dyDescent="0.2">
      <c r="A25" t="s">
        <v>92</v>
      </c>
      <c r="B25" t="s">
        <v>150</v>
      </c>
      <c r="C25">
        <v>2009</v>
      </c>
      <c r="D25">
        <v>2020</v>
      </c>
      <c r="E25">
        <v>2040</v>
      </c>
      <c r="F25">
        <v>2057</v>
      </c>
      <c r="G25" t="s">
        <v>93</v>
      </c>
      <c r="H25" t="s">
        <v>50</v>
      </c>
      <c r="I25" t="s">
        <v>18</v>
      </c>
      <c r="J25" t="s">
        <v>42</v>
      </c>
      <c r="K25" s="2">
        <v>0.202890579788851</v>
      </c>
      <c r="L25" s="2">
        <v>0.76098490114573802</v>
      </c>
      <c r="M25" s="2">
        <v>2.1102778682003001</v>
      </c>
      <c r="N25" s="2">
        <v>3.5383904068558998</v>
      </c>
    </row>
    <row r="26" spans="1:14" x14ac:dyDescent="0.2">
      <c r="A26" t="s">
        <v>91</v>
      </c>
      <c r="B26" t="s">
        <v>150</v>
      </c>
      <c r="C26">
        <v>2033</v>
      </c>
      <c r="D26">
        <v>2046</v>
      </c>
      <c r="E26">
        <v>2067</v>
      </c>
      <c r="F26">
        <v>2084</v>
      </c>
      <c r="G26" t="s">
        <v>75</v>
      </c>
      <c r="H26" t="s">
        <v>46</v>
      </c>
      <c r="I26" t="s">
        <v>60</v>
      </c>
      <c r="J26" t="s">
        <v>71</v>
      </c>
      <c r="K26" s="2">
        <v>0.72322779682271798</v>
      </c>
      <c r="L26" s="2">
        <v>1.2460704672045699</v>
      </c>
      <c r="M26" s="2">
        <v>2.3489683580133098</v>
      </c>
      <c r="N26" s="2">
        <v>3.5346176677093801</v>
      </c>
    </row>
    <row r="27" spans="1:14" x14ac:dyDescent="0.2">
      <c r="A27" t="s">
        <v>89</v>
      </c>
      <c r="B27" t="s">
        <v>150</v>
      </c>
      <c r="C27">
        <v>2020</v>
      </c>
      <c r="D27">
        <v>2033</v>
      </c>
      <c r="E27">
        <v>2058</v>
      </c>
      <c r="F27">
        <v>2077</v>
      </c>
      <c r="G27" t="s">
        <v>50</v>
      </c>
      <c r="H27" t="s">
        <v>75</v>
      </c>
      <c r="I27" t="s">
        <v>57</v>
      </c>
      <c r="J27" t="s">
        <v>90</v>
      </c>
      <c r="K27" s="2">
        <v>0.38601529090168102</v>
      </c>
      <c r="L27" s="2">
        <v>1.1765928095117699</v>
      </c>
      <c r="M27" s="2">
        <v>2.0447804772332998</v>
      </c>
      <c r="N27" s="2">
        <v>3.34699536413342</v>
      </c>
    </row>
    <row r="28" spans="1:14" x14ac:dyDescent="0.2">
      <c r="A28" t="s">
        <v>98</v>
      </c>
      <c r="B28" t="s">
        <v>150</v>
      </c>
      <c r="C28">
        <v>2020</v>
      </c>
      <c r="D28">
        <v>2035</v>
      </c>
      <c r="E28">
        <v>2056</v>
      </c>
      <c r="F28">
        <v>2077</v>
      </c>
      <c r="G28" t="s">
        <v>50</v>
      </c>
      <c r="H28" t="s">
        <v>43</v>
      </c>
      <c r="I28" t="s">
        <v>58</v>
      </c>
      <c r="J28" t="s">
        <v>90</v>
      </c>
      <c r="K28" s="2">
        <v>0.72077789999999997</v>
      </c>
      <c r="L28" s="2">
        <v>1.3950653</v>
      </c>
      <c r="M28" s="2">
        <v>2.3296342000000001</v>
      </c>
      <c r="N28" s="2">
        <v>3.4568650000000001</v>
      </c>
    </row>
    <row r="29" spans="1:14" x14ac:dyDescent="0.2">
      <c r="A29" t="s">
        <v>100</v>
      </c>
      <c r="B29" t="s">
        <v>150</v>
      </c>
      <c r="C29">
        <v>2052</v>
      </c>
      <c r="D29">
        <v>2070</v>
      </c>
      <c r="G29" t="s">
        <v>95</v>
      </c>
      <c r="H29" t="s">
        <v>85</v>
      </c>
      <c r="K29" s="2">
        <v>1.47873513963486</v>
      </c>
      <c r="L29" s="2">
        <v>2.1390993330213699</v>
      </c>
      <c r="M29" s="2"/>
      <c r="N29" s="2"/>
    </row>
    <row r="30" spans="1:14" x14ac:dyDescent="0.2">
      <c r="A30" t="s">
        <v>101</v>
      </c>
      <c r="B30" t="s">
        <v>150</v>
      </c>
      <c r="C30">
        <v>2047</v>
      </c>
      <c r="D30">
        <v>2063</v>
      </c>
      <c r="E30">
        <v>2091</v>
      </c>
      <c r="G30" t="s">
        <v>78</v>
      </c>
      <c r="H30" t="s">
        <v>51</v>
      </c>
      <c r="I30" t="s">
        <v>72</v>
      </c>
      <c r="K30" s="2">
        <v>1.3241218433558199</v>
      </c>
      <c r="L30" s="2">
        <v>2.21944365083219</v>
      </c>
      <c r="M30" s="2">
        <v>3.6687247613706999</v>
      </c>
      <c r="N30" s="2"/>
    </row>
    <row r="31" spans="1:14" x14ac:dyDescent="0.2">
      <c r="A31" t="s">
        <v>102</v>
      </c>
      <c r="B31" t="s">
        <v>151</v>
      </c>
      <c r="C31">
        <v>2031</v>
      </c>
      <c r="D31">
        <v>2044</v>
      </c>
      <c r="E31">
        <v>2066</v>
      </c>
      <c r="G31" t="s">
        <v>17</v>
      </c>
      <c r="H31" t="s">
        <v>41</v>
      </c>
      <c r="I31" t="s">
        <v>61</v>
      </c>
      <c r="K31" s="2">
        <v>1.10620723221233</v>
      </c>
      <c r="L31" s="2">
        <v>1.9836362436988699</v>
      </c>
      <c r="M31" s="2">
        <v>3.30951525175441</v>
      </c>
      <c r="N31" s="2"/>
    </row>
    <row r="32" spans="1:14" x14ac:dyDescent="0.2">
      <c r="A32" t="s">
        <v>108</v>
      </c>
      <c r="B32" t="s">
        <v>151</v>
      </c>
      <c r="C32">
        <v>2013</v>
      </c>
      <c r="D32">
        <v>2023</v>
      </c>
      <c r="E32">
        <v>2041</v>
      </c>
      <c r="F32">
        <v>2055</v>
      </c>
      <c r="G32" t="s">
        <v>10</v>
      </c>
      <c r="H32" t="s">
        <v>22</v>
      </c>
      <c r="I32" t="s">
        <v>45</v>
      </c>
      <c r="J32" t="s">
        <v>79</v>
      </c>
      <c r="K32" s="2">
        <v>0.40323407208475398</v>
      </c>
      <c r="L32" s="2">
        <v>0.99704027529113504</v>
      </c>
      <c r="M32" s="2">
        <v>2.3371529190628499</v>
      </c>
      <c r="N32" s="2">
        <v>3.47663613778573</v>
      </c>
    </row>
    <row r="33" spans="1:14" x14ac:dyDescent="0.2">
      <c r="A33" t="s">
        <v>107</v>
      </c>
      <c r="B33" t="s">
        <v>151</v>
      </c>
      <c r="C33">
        <v>2009</v>
      </c>
      <c r="D33">
        <v>2020</v>
      </c>
      <c r="E33">
        <v>2038</v>
      </c>
      <c r="F33">
        <v>2054</v>
      </c>
      <c r="G33" t="s">
        <v>93</v>
      </c>
      <c r="H33" t="s">
        <v>50</v>
      </c>
      <c r="I33" t="s">
        <v>16</v>
      </c>
      <c r="J33" t="s">
        <v>104</v>
      </c>
      <c r="K33" s="2">
        <v>0.177779995953596</v>
      </c>
      <c r="L33" s="2">
        <v>0.87309575963903396</v>
      </c>
      <c r="M33" s="2">
        <v>2.0574873323793699</v>
      </c>
      <c r="N33" s="2">
        <v>3.3368688512731399</v>
      </c>
    </row>
    <row r="34" spans="1:14" x14ac:dyDescent="0.2">
      <c r="A34" t="s">
        <v>106</v>
      </c>
      <c r="B34" t="s">
        <v>151</v>
      </c>
      <c r="C34">
        <v>2029</v>
      </c>
      <c r="D34">
        <v>2041</v>
      </c>
      <c r="E34">
        <v>2059</v>
      </c>
      <c r="F34">
        <v>2073</v>
      </c>
      <c r="G34" t="s">
        <v>44</v>
      </c>
      <c r="H34" t="s">
        <v>45</v>
      </c>
      <c r="I34" t="s">
        <v>96</v>
      </c>
      <c r="J34" t="s">
        <v>80</v>
      </c>
      <c r="K34" s="2">
        <v>0.96419402225133399</v>
      </c>
      <c r="L34" s="2">
        <v>1.3750644292338701</v>
      </c>
      <c r="M34" s="2">
        <v>2.56942141305246</v>
      </c>
      <c r="N34" s="2">
        <v>3.6274086208958898</v>
      </c>
    </row>
    <row r="35" spans="1:14" x14ac:dyDescent="0.2">
      <c r="A35" t="s">
        <v>105</v>
      </c>
      <c r="B35" t="s">
        <v>151</v>
      </c>
      <c r="C35">
        <v>2019</v>
      </c>
      <c r="D35">
        <v>2030</v>
      </c>
      <c r="E35">
        <v>2052</v>
      </c>
      <c r="F35">
        <v>2067</v>
      </c>
      <c r="G35" t="s">
        <v>15</v>
      </c>
      <c r="H35" t="s">
        <v>12</v>
      </c>
      <c r="I35" t="s">
        <v>95</v>
      </c>
      <c r="J35" t="s">
        <v>60</v>
      </c>
      <c r="K35" s="2">
        <v>0.70134988166900303</v>
      </c>
      <c r="L35" s="2">
        <v>0.998950885644035</v>
      </c>
      <c r="M35" s="2">
        <v>2.7606360962669898</v>
      </c>
      <c r="N35" s="2">
        <v>3.5059260879304599</v>
      </c>
    </row>
    <row r="36" spans="1:14" x14ac:dyDescent="0.2">
      <c r="A36" t="s">
        <v>109</v>
      </c>
      <c r="B36" t="s">
        <v>151</v>
      </c>
      <c r="C36">
        <v>2030</v>
      </c>
      <c r="D36">
        <v>2042</v>
      </c>
      <c r="E36">
        <v>2060</v>
      </c>
      <c r="F36">
        <v>2080</v>
      </c>
      <c r="G36" t="s">
        <v>12</v>
      </c>
      <c r="H36" t="s">
        <v>25</v>
      </c>
      <c r="I36" t="s">
        <v>26</v>
      </c>
      <c r="J36" t="s">
        <v>97</v>
      </c>
      <c r="K36" s="2">
        <v>1.14807129358736</v>
      </c>
      <c r="L36" s="2">
        <v>1.92835522339452</v>
      </c>
      <c r="M36" s="2">
        <v>3.00087035879264</v>
      </c>
      <c r="N36" s="2">
        <v>4.4327790092828199</v>
      </c>
    </row>
    <row r="37" spans="1:14" x14ac:dyDescent="0.2">
      <c r="A37" t="s">
        <v>110</v>
      </c>
      <c r="B37" t="s">
        <v>151</v>
      </c>
      <c r="C37">
        <v>2030</v>
      </c>
      <c r="D37">
        <v>2042</v>
      </c>
      <c r="E37">
        <v>2060</v>
      </c>
      <c r="F37">
        <v>2080</v>
      </c>
      <c r="G37" t="s">
        <v>12</v>
      </c>
      <c r="H37" t="s">
        <v>25</v>
      </c>
      <c r="I37" t="s">
        <v>26</v>
      </c>
      <c r="J37" t="s">
        <v>97</v>
      </c>
      <c r="K37" s="2">
        <v>1.1304126238699299</v>
      </c>
      <c r="L37" s="2">
        <v>1.9069431740552201</v>
      </c>
      <c r="M37" s="2">
        <v>2.9731055991778002</v>
      </c>
      <c r="N37" s="2">
        <v>4.3885902773160099</v>
      </c>
    </row>
    <row r="38" spans="1:14" x14ac:dyDescent="0.2">
      <c r="A38" t="s">
        <v>111</v>
      </c>
      <c r="B38" t="s">
        <v>151</v>
      </c>
      <c r="C38">
        <v>2019</v>
      </c>
      <c r="D38">
        <v>2035</v>
      </c>
      <c r="E38">
        <v>2051</v>
      </c>
      <c r="F38">
        <v>2067</v>
      </c>
      <c r="G38" t="s">
        <v>15</v>
      </c>
      <c r="H38" t="s">
        <v>43</v>
      </c>
      <c r="I38" t="s">
        <v>23</v>
      </c>
      <c r="J38" t="s">
        <v>60</v>
      </c>
      <c r="K38" s="2">
        <v>0.43056794999999998</v>
      </c>
      <c r="L38" s="2">
        <v>1.2029984</v>
      </c>
      <c r="M38" s="2">
        <v>2.6564833999999999</v>
      </c>
      <c r="N38" s="2">
        <v>4.1262420000000004</v>
      </c>
    </row>
    <row r="39" spans="1:14" x14ac:dyDescent="0.2">
      <c r="A39" t="s">
        <v>112</v>
      </c>
      <c r="B39" t="s">
        <v>151</v>
      </c>
      <c r="C39">
        <v>2043</v>
      </c>
      <c r="D39">
        <v>2057</v>
      </c>
      <c r="E39">
        <v>2078</v>
      </c>
      <c r="G39" t="s">
        <v>20</v>
      </c>
      <c r="H39" t="s">
        <v>42</v>
      </c>
      <c r="I39" t="s">
        <v>103</v>
      </c>
      <c r="K39" s="2">
        <v>1.39116558498808</v>
      </c>
      <c r="L39" s="2">
        <v>1.78786858452693</v>
      </c>
      <c r="M39" s="2">
        <v>3.3017069074842902</v>
      </c>
      <c r="N39" s="2"/>
    </row>
    <row r="40" spans="1:14" x14ac:dyDescent="0.2">
      <c r="A40" t="s">
        <v>113</v>
      </c>
      <c r="B40" t="s">
        <v>151</v>
      </c>
      <c r="C40">
        <v>2040</v>
      </c>
      <c r="D40">
        <v>2055</v>
      </c>
      <c r="E40">
        <v>2077</v>
      </c>
      <c r="G40" t="s">
        <v>18</v>
      </c>
      <c r="H40" t="s">
        <v>79</v>
      </c>
      <c r="I40" t="s">
        <v>90</v>
      </c>
      <c r="K40" s="2">
        <v>1.4563077935103701</v>
      </c>
      <c r="L40" s="2">
        <v>2.0562198799908602</v>
      </c>
      <c r="M40" s="2">
        <v>3.3375443506061302</v>
      </c>
      <c r="N40" s="2"/>
    </row>
    <row r="45" spans="1:14" x14ac:dyDescent="0.2">
      <c r="M45" s="3"/>
    </row>
  </sheetData>
  <sortState xmlns:xlrd2="http://schemas.microsoft.com/office/spreadsheetml/2017/richdata2" ref="A3:N40">
    <sortCondition ref="B3:B40"/>
    <sortCondition ref="A3:A40"/>
  </sortState>
  <mergeCells count="5">
    <mergeCell ref="S1:V1"/>
    <mergeCell ref="C1:F1"/>
    <mergeCell ref="G1:J1"/>
    <mergeCell ref="K1:N1"/>
    <mergeCell ref="O1:R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9E52-8967-0B40-B1A4-75021F4FF2E3}">
  <dimension ref="A1:P39"/>
  <sheetViews>
    <sheetView workbookViewId="0">
      <selection activeCell="E46" sqref="E45:E46"/>
    </sheetView>
  </sheetViews>
  <sheetFormatPr baseColWidth="10" defaultRowHeight="16" x14ac:dyDescent="0.2"/>
  <cols>
    <col min="1" max="1" width="39.6640625" bestFit="1" customWidth="1"/>
    <col min="2" max="2" width="5.6640625" bestFit="1" customWidth="1"/>
  </cols>
  <sheetData>
    <row r="1" spans="1:14" x14ac:dyDescent="0.2">
      <c r="A1" s="1" t="s">
        <v>0</v>
      </c>
      <c r="B1" s="1"/>
      <c r="C1" s="5" t="s">
        <v>1</v>
      </c>
      <c r="D1" s="5"/>
      <c r="E1" s="5"/>
      <c r="F1" s="5"/>
      <c r="G1" s="5" t="s">
        <v>2</v>
      </c>
      <c r="H1" s="5"/>
      <c r="I1" s="5"/>
      <c r="J1" s="5"/>
      <c r="K1" s="5" t="s">
        <v>114</v>
      </c>
      <c r="L1" s="5"/>
      <c r="M1" s="5"/>
      <c r="N1" s="5"/>
    </row>
    <row r="2" spans="1:14" x14ac:dyDescent="0.2">
      <c r="A2" s="1" t="s">
        <v>117</v>
      </c>
      <c r="B2" s="1" t="s">
        <v>142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4</v>
      </c>
      <c r="L2" s="1" t="s">
        <v>5</v>
      </c>
      <c r="M2" s="1" t="s">
        <v>6</v>
      </c>
      <c r="N2" s="1" t="s">
        <v>7</v>
      </c>
    </row>
    <row r="3" spans="1:14" x14ac:dyDescent="0.2">
      <c r="A3" t="s">
        <v>126</v>
      </c>
      <c r="B3" t="s">
        <v>143</v>
      </c>
      <c r="C3">
        <v>2023</v>
      </c>
      <c r="G3" t="s">
        <v>22</v>
      </c>
      <c r="K3" s="2">
        <v>0.46622947410301602</v>
      </c>
      <c r="L3" s="2"/>
      <c r="M3" s="2"/>
      <c r="N3" s="2"/>
    </row>
    <row r="4" spans="1:14" x14ac:dyDescent="0.2">
      <c r="A4" t="s">
        <v>125</v>
      </c>
      <c r="B4" t="s">
        <v>143</v>
      </c>
      <c r="C4">
        <v>2012</v>
      </c>
      <c r="D4">
        <v>2044</v>
      </c>
      <c r="G4" t="s">
        <v>13</v>
      </c>
      <c r="H4" t="s">
        <v>41</v>
      </c>
      <c r="K4" s="2">
        <v>0.24525560358096299</v>
      </c>
      <c r="L4" s="2">
        <v>0.87075942812776297</v>
      </c>
      <c r="M4" s="2"/>
      <c r="N4" s="2"/>
    </row>
    <row r="5" spans="1:14" x14ac:dyDescent="0.2">
      <c r="A5" t="s">
        <v>119</v>
      </c>
      <c r="B5" t="s">
        <v>143</v>
      </c>
      <c r="C5">
        <v>2014</v>
      </c>
      <c r="D5">
        <v>2034</v>
      </c>
      <c r="G5" t="s">
        <v>40</v>
      </c>
      <c r="H5" t="s">
        <v>63</v>
      </c>
      <c r="K5" s="2">
        <v>0.31774715847441198</v>
      </c>
      <c r="L5" s="2">
        <v>0.96672905815973698</v>
      </c>
      <c r="M5" s="2"/>
      <c r="N5" s="2"/>
    </row>
    <row r="6" spans="1:14" x14ac:dyDescent="0.2">
      <c r="A6" t="s">
        <v>118</v>
      </c>
      <c r="B6" t="s">
        <v>143</v>
      </c>
      <c r="C6">
        <v>2044</v>
      </c>
      <c r="G6" t="s">
        <v>41</v>
      </c>
      <c r="K6" s="2">
        <v>0.83663283039253999</v>
      </c>
      <c r="L6" s="2"/>
      <c r="M6" s="2"/>
      <c r="N6" s="2"/>
    </row>
    <row r="7" spans="1:14" x14ac:dyDescent="0.2">
      <c r="A7" t="s">
        <v>120</v>
      </c>
      <c r="B7" t="s">
        <v>143</v>
      </c>
      <c r="C7">
        <v>2011</v>
      </c>
      <c r="D7">
        <v>2032</v>
      </c>
      <c r="G7" t="s">
        <v>73</v>
      </c>
      <c r="H7" t="s">
        <v>31</v>
      </c>
      <c r="K7" s="2">
        <v>0.36656778123640099</v>
      </c>
      <c r="L7" s="2">
        <v>0.89545909033877502</v>
      </c>
      <c r="M7" s="2"/>
      <c r="N7" s="2"/>
    </row>
    <row r="8" spans="1:14" x14ac:dyDescent="0.2">
      <c r="A8" t="s">
        <v>121</v>
      </c>
      <c r="B8" t="s">
        <v>143</v>
      </c>
      <c r="C8">
        <v>2016</v>
      </c>
      <c r="D8">
        <v>2047</v>
      </c>
      <c r="G8" t="s">
        <v>122</v>
      </c>
      <c r="H8" t="s">
        <v>78</v>
      </c>
      <c r="K8" s="2">
        <v>0.387773928972933</v>
      </c>
      <c r="L8" s="2">
        <v>0.89021165758271004</v>
      </c>
      <c r="M8" s="2"/>
      <c r="N8" s="2"/>
    </row>
    <row r="9" spans="1:14" x14ac:dyDescent="0.2">
      <c r="A9" t="s">
        <v>124</v>
      </c>
      <c r="B9" t="s">
        <v>143</v>
      </c>
      <c r="K9" s="2"/>
      <c r="L9" s="2"/>
      <c r="M9" s="2"/>
      <c r="N9" s="2"/>
    </row>
    <row r="10" spans="1:14" x14ac:dyDescent="0.2">
      <c r="A10" t="s">
        <v>123</v>
      </c>
      <c r="B10" t="s">
        <v>143</v>
      </c>
      <c r="C10">
        <v>2085</v>
      </c>
      <c r="G10" t="s">
        <v>66</v>
      </c>
      <c r="K10" s="2">
        <v>1.41822244149666</v>
      </c>
      <c r="L10" s="2"/>
      <c r="M10" s="2"/>
      <c r="N10" s="2"/>
    </row>
    <row r="11" spans="1:14" x14ac:dyDescent="0.2">
      <c r="A11" t="s">
        <v>133</v>
      </c>
      <c r="B11" t="s">
        <v>145</v>
      </c>
      <c r="C11">
        <v>2022</v>
      </c>
      <c r="D11">
        <v>2044</v>
      </c>
      <c r="G11" t="s">
        <v>27</v>
      </c>
      <c r="H11" t="s">
        <v>41</v>
      </c>
      <c r="K11" s="2">
        <v>0.24246749877933901</v>
      </c>
      <c r="L11" s="2">
        <v>1.0014052497016299</v>
      </c>
      <c r="M11" s="2"/>
      <c r="N11" s="2"/>
    </row>
    <row r="12" spans="1:14" x14ac:dyDescent="0.2">
      <c r="A12" t="s">
        <v>132</v>
      </c>
      <c r="B12" t="s">
        <v>145</v>
      </c>
      <c r="C12">
        <v>2012</v>
      </c>
      <c r="D12">
        <v>2035</v>
      </c>
      <c r="G12" t="s">
        <v>13</v>
      </c>
      <c r="H12" t="s">
        <v>43</v>
      </c>
      <c r="K12" s="2">
        <v>0.26356427112833902</v>
      </c>
      <c r="L12" s="2">
        <v>0.58958780640360797</v>
      </c>
      <c r="M12" s="2"/>
      <c r="N12" s="2"/>
    </row>
    <row r="13" spans="1:14" x14ac:dyDescent="0.2">
      <c r="A13" t="s">
        <v>128</v>
      </c>
      <c r="B13" t="s">
        <v>145</v>
      </c>
      <c r="C13">
        <v>2018</v>
      </c>
      <c r="D13">
        <v>2032</v>
      </c>
      <c r="E13">
        <v>2076</v>
      </c>
      <c r="G13" t="s">
        <v>33</v>
      </c>
      <c r="H13" t="s">
        <v>31</v>
      </c>
      <c r="I13" t="s">
        <v>59</v>
      </c>
      <c r="K13" s="2">
        <v>0.41300838611745899</v>
      </c>
      <c r="L13" s="2">
        <v>0.81726423192909303</v>
      </c>
      <c r="M13" s="2">
        <v>1.8179915675410701</v>
      </c>
      <c r="N13" s="2"/>
    </row>
    <row r="14" spans="1:14" x14ac:dyDescent="0.2">
      <c r="A14" t="s">
        <v>127</v>
      </c>
      <c r="B14" t="s">
        <v>145</v>
      </c>
      <c r="C14">
        <v>2038</v>
      </c>
      <c r="D14">
        <v>2059</v>
      </c>
      <c r="G14" t="s">
        <v>16</v>
      </c>
      <c r="H14" t="s">
        <v>96</v>
      </c>
      <c r="K14" s="2">
        <v>0.63252829487877804</v>
      </c>
      <c r="L14" s="2">
        <v>1.610914836536</v>
      </c>
      <c r="M14" s="2"/>
      <c r="N14" s="2"/>
    </row>
    <row r="15" spans="1:14" x14ac:dyDescent="0.2">
      <c r="A15" t="s">
        <v>129</v>
      </c>
      <c r="B15" t="s">
        <v>145</v>
      </c>
      <c r="C15">
        <v>2014</v>
      </c>
      <c r="D15">
        <v>2031</v>
      </c>
      <c r="E15">
        <v>2070</v>
      </c>
      <c r="G15" t="s">
        <v>40</v>
      </c>
      <c r="H15" t="s">
        <v>17</v>
      </c>
      <c r="I15" t="s">
        <v>85</v>
      </c>
      <c r="K15" s="2">
        <v>0.26854250166147098</v>
      </c>
      <c r="L15" s="2">
        <v>0.80277699364550803</v>
      </c>
      <c r="M15" s="2">
        <v>1.9388497246635801</v>
      </c>
      <c r="N15" s="2"/>
    </row>
    <row r="16" spans="1:14" x14ac:dyDescent="0.2">
      <c r="A16" t="s">
        <v>131</v>
      </c>
      <c r="B16" s="4" t="s">
        <v>145</v>
      </c>
      <c r="C16">
        <v>2040</v>
      </c>
      <c r="D16">
        <v>2074</v>
      </c>
      <c r="G16" t="s">
        <v>18</v>
      </c>
      <c r="H16" t="s">
        <v>21</v>
      </c>
      <c r="K16" s="2">
        <v>1.2713410977964501</v>
      </c>
      <c r="L16" s="2">
        <v>1.85172906098548</v>
      </c>
      <c r="M16" s="2"/>
      <c r="N16" s="2"/>
    </row>
    <row r="17" spans="1:16" x14ac:dyDescent="0.2">
      <c r="A17" t="s">
        <v>130</v>
      </c>
      <c r="B17" s="4" t="s">
        <v>145</v>
      </c>
      <c r="C17">
        <v>2042</v>
      </c>
      <c r="D17">
        <v>2068</v>
      </c>
      <c r="G17" t="s">
        <v>25</v>
      </c>
      <c r="H17" t="s">
        <v>8</v>
      </c>
      <c r="K17" s="2">
        <v>1.04776215729892</v>
      </c>
      <c r="L17" s="2">
        <v>1.4275242982087399</v>
      </c>
      <c r="M17" s="2"/>
      <c r="N17" s="2"/>
    </row>
    <row r="18" spans="1:16" x14ac:dyDescent="0.2">
      <c r="A18" t="s">
        <v>141</v>
      </c>
      <c r="B18" t="s">
        <v>144</v>
      </c>
      <c r="C18">
        <v>2020</v>
      </c>
      <c r="D18">
        <v>2037</v>
      </c>
      <c r="E18">
        <v>2060</v>
      </c>
      <c r="F18">
        <v>2084</v>
      </c>
      <c r="G18" t="s">
        <v>50</v>
      </c>
      <c r="H18" t="s">
        <v>47</v>
      </c>
      <c r="I18" t="s">
        <v>26</v>
      </c>
      <c r="J18" t="s">
        <v>71</v>
      </c>
      <c r="K18" s="2">
        <v>0.25636699817790398</v>
      </c>
      <c r="L18" s="2">
        <v>1.4150692127368201</v>
      </c>
      <c r="M18" s="2">
        <v>2.2598840219002199</v>
      </c>
      <c r="N18" s="2">
        <v>3.8378899609600099</v>
      </c>
    </row>
    <row r="19" spans="1:16" x14ac:dyDescent="0.2">
      <c r="A19" t="s">
        <v>140</v>
      </c>
      <c r="B19" t="s">
        <v>144</v>
      </c>
      <c r="C19">
        <v>2011</v>
      </c>
      <c r="D19">
        <v>2029</v>
      </c>
      <c r="E19">
        <v>2060</v>
      </c>
      <c r="F19">
        <v>2086</v>
      </c>
      <c r="G19" t="s">
        <v>73</v>
      </c>
      <c r="H19" t="s">
        <v>44</v>
      </c>
      <c r="I19" t="s">
        <v>26</v>
      </c>
      <c r="J19" t="s">
        <v>74</v>
      </c>
      <c r="K19" s="2">
        <v>0.19708605850399499</v>
      </c>
      <c r="L19" s="2">
        <v>0.85248630903591305</v>
      </c>
      <c r="M19" s="2">
        <v>2.72245074781776</v>
      </c>
      <c r="N19" s="2">
        <v>3.5750805834353399</v>
      </c>
    </row>
    <row r="20" spans="1:16" x14ac:dyDescent="0.2">
      <c r="A20" t="s">
        <v>135</v>
      </c>
      <c r="B20" t="s">
        <v>144</v>
      </c>
      <c r="C20">
        <v>2014</v>
      </c>
      <c r="D20">
        <v>2027</v>
      </c>
      <c r="E20">
        <v>2050</v>
      </c>
      <c r="F20">
        <v>2069</v>
      </c>
      <c r="G20" t="s">
        <v>40</v>
      </c>
      <c r="H20" t="s">
        <v>29</v>
      </c>
      <c r="I20" t="s">
        <v>52</v>
      </c>
      <c r="J20" t="s">
        <v>84</v>
      </c>
      <c r="K20" s="2">
        <v>0.29994389569320301</v>
      </c>
      <c r="L20" s="2">
        <v>0.73833098234956296</v>
      </c>
      <c r="M20" s="2">
        <v>1.8766875938133201</v>
      </c>
      <c r="N20" s="2">
        <v>3.2761420921043301</v>
      </c>
    </row>
    <row r="21" spans="1:16" x14ac:dyDescent="0.2">
      <c r="A21" t="s">
        <v>134</v>
      </c>
      <c r="B21" t="s">
        <v>144</v>
      </c>
      <c r="C21">
        <v>2031</v>
      </c>
      <c r="D21">
        <v>2046</v>
      </c>
      <c r="E21">
        <v>2068</v>
      </c>
      <c r="F21">
        <v>2088</v>
      </c>
      <c r="G21" t="s">
        <v>17</v>
      </c>
      <c r="H21" t="s">
        <v>46</v>
      </c>
      <c r="I21" t="s">
        <v>8</v>
      </c>
      <c r="J21" t="s">
        <v>88</v>
      </c>
      <c r="K21" s="2">
        <v>0.80631215971271497</v>
      </c>
      <c r="L21" s="2">
        <v>1.5717548309150999</v>
      </c>
      <c r="M21" s="2">
        <v>2.6047206391182098</v>
      </c>
      <c r="N21" s="2">
        <v>3.8460715047062499</v>
      </c>
    </row>
    <row r="22" spans="1:16" x14ac:dyDescent="0.2">
      <c r="A22" t="s">
        <v>136</v>
      </c>
      <c r="B22" t="s">
        <v>144</v>
      </c>
      <c r="C22">
        <v>2023</v>
      </c>
      <c r="D22">
        <v>2035</v>
      </c>
      <c r="E22">
        <v>2055</v>
      </c>
      <c r="F22">
        <v>2071</v>
      </c>
      <c r="G22" t="s">
        <v>22</v>
      </c>
      <c r="H22" t="s">
        <v>43</v>
      </c>
      <c r="I22" t="s">
        <v>79</v>
      </c>
      <c r="J22" t="s">
        <v>99</v>
      </c>
      <c r="K22" s="2">
        <v>1.2547776910347199</v>
      </c>
      <c r="L22" s="2">
        <v>1.8814544179047701</v>
      </c>
      <c r="M22" s="2">
        <v>3.3167032989732199</v>
      </c>
      <c r="N22" s="2"/>
      <c r="O22" s="3" t="s">
        <v>152</v>
      </c>
      <c r="P22" s="2">
        <v>4.9136741564842401</v>
      </c>
    </row>
    <row r="23" spans="1:16" x14ac:dyDescent="0.2">
      <c r="A23" t="s">
        <v>137</v>
      </c>
      <c r="B23" t="s">
        <v>144</v>
      </c>
      <c r="C23">
        <v>2011</v>
      </c>
      <c r="D23">
        <v>2027</v>
      </c>
      <c r="E23">
        <v>2048</v>
      </c>
      <c r="F23">
        <v>2066</v>
      </c>
      <c r="G23" t="s">
        <v>73</v>
      </c>
      <c r="H23" t="s">
        <v>29</v>
      </c>
      <c r="I23" t="s">
        <v>35</v>
      </c>
      <c r="J23" t="s">
        <v>61</v>
      </c>
      <c r="K23" s="2">
        <v>0.27716342078308198</v>
      </c>
      <c r="L23" s="2">
        <v>0.97698444790303796</v>
      </c>
      <c r="M23" s="2">
        <v>2.1671324835882499</v>
      </c>
      <c r="N23" s="2">
        <v>3.4109224743312501</v>
      </c>
    </row>
    <row r="24" spans="1:16" x14ac:dyDescent="0.2">
      <c r="A24" t="s">
        <v>139</v>
      </c>
      <c r="B24" t="s">
        <v>144</v>
      </c>
      <c r="C24">
        <v>2033</v>
      </c>
      <c r="D24">
        <v>2050</v>
      </c>
      <c r="E24">
        <v>2074</v>
      </c>
      <c r="G24" t="s">
        <v>75</v>
      </c>
      <c r="H24" t="s">
        <v>52</v>
      </c>
      <c r="I24" t="s">
        <v>21</v>
      </c>
      <c r="K24" s="2">
        <v>0.78084819934989003</v>
      </c>
      <c r="L24" s="2">
        <v>1.1650189858895901</v>
      </c>
      <c r="M24" s="2">
        <v>2.51032525521738</v>
      </c>
      <c r="N24" s="2"/>
    </row>
    <row r="25" spans="1:16" x14ac:dyDescent="0.2">
      <c r="A25" t="s">
        <v>138</v>
      </c>
      <c r="B25" t="s">
        <v>144</v>
      </c>
      <c r="C25">
        <v>2034</v>
      </c>
      <c r="D25">
        <v>2048</v>
      </c>
      <c r="E25">
        <v>2070</v>
      </c>
      <c r="G25" t="s">
        <v>63</v>
      </c>
      <c r="H25" t="s">
        <v>35</v>
      </c>
      <c r="I25" t="s">
        <v>85</v>
      </c>
      <c r="K25" s="2">
        <v>0.69072337680391005</v>
      </c>
      <c r="L25" s="2">
        <v>1.39141197204587</v>
      </c>
      <c r="M25" s="2">
        <v>2.5225286695692</v>
      </c>
      <c r="N25" s="2"/>
    </row>
    <row r="39" spans="13:13" x14ac:dyDescent="0.2">
      <c r="M39" s="3"/>
    </row>
  </sheetData>
  <sortState xmlns:xlrd2="http://schemas.microsoft.com/office/spreadsheetml/2017/richdata2" ref="A3:N25">
    <sortCondition ref="B3:B25"/>
    <sortCondition ref="A3:A25"/>
  </sortState>
  <mergeCells count="3">
    <mergeCell ref="C1:F1"/>
    <mergeCell ref="G1:J1"/>
    <mergeCell ref="K1:N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C52E-CD69-334E-921C-30F2A861EB14}">
  <dimension ref="A1:U28"/>
  <sheetViews>
    <sheetView workbookViewId="0">
      <selection sqref="A1:M28"/>
    </sheetView>
  </sheetViews>
  <sheetFormatPr baseColWidth="10" defaultRowHeight="16" x14ac:dyDescent="0.2"/>
  <cols>
    <col min="1" max="1" width="47.33203125" bestFit="1" customWidth="1"/>
  </cols>
  <sheetData>
    <row r="1" spans="1:21" x14ac:dyDescent="0.2">
      <c r="A1" s="1" t="s">
        <v>0</v>
      </c>
      <c r="B1" s="5" t="s">
        <v>1</v>
      </c>
      <c r="C1" s="5"/>
      <c r="D1" s="5"/>
      <c r="E1" s="5"/>
      <c r="F1" s="5" t="s">
        <v>2</v>
      </c>
      <c r="G1" s="5"/>
      <c r="H1" s="5"/>
      <c r="I1" s="5"/>
      <c r="J1" s="5" t="s">
        <v>114</v>
      </c>
      <c r="K1" s="5"/>
      <c r="L1" s="5"/>
      <c r="M1" s="5"/>
      <c r="N1" s="5" t="s">
        <v>115</v>
      </c>
      <c r="O1" s="5"/>
      <c r="P1" s="5"/>
      <c r="Q1" s="5"/>
      <c r="R1" s="5" t="s">
        <v>116</v>
      </c>
      <c r="S1" s="5"/>
      <c r="T1" s="5"/>
      <c r="U1" s="5"/>
    </row>
    <row r="2" spans="1:21" x14ac:dyDescent="0.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4</v>
      </c>
      <c r="O2" s="1" t="s">
        <v>5</v>
      </c>
      <c r="P2" s="1" t="s">
        <v>6</v>
      </c>
      <c r="Q2" s="1" t="s">
        <v>7</v>
      </c>
      <c r="R2" s="1" t="s">
        <v>4</v>
      </c>
      <c r="S2" s="1" t="s">
        <v>5</v>
      </c>
      <c r="T2" s="1" t="s">
        <v>6</v>
      </c>
      <c r="U2" s="1" t="s">
        <v>7</v>
      </c>
    </row>
    <row r="3" spans="1:21" x14ac:dyDescent="0.2">
      <c r="A3" t="s">
        <v>24</v>
      </c>
      <c r="B3">
        <v>2042</v>
      </c>
      <c r="F3" t="s">
        <v>25</v>
      </c>
      <c r="J3" s="2">
        <v>0.50765736677745898</v>
      </c>
      <c r="K3" s="2"/>
      <c r="L3" s="2"/>
      <c r="M3" s="2"/>
    </row>
    <row r="4" spans="1:21" x14ac:dyDescent="0.2">
      <c r="A4" t="s">
        <v>55</v>
      </c>
      <c r="B4">
        <v>2036</v>
      </c>
      <c r="C4">
        <v>2058</v>
      </c>
      <c r="F4" t="s">
        <v>56</v>
      </c>
      <c r="G4" t="s">
        <v>57</v>
      </c>
      <c r="J4" s="2">
        <v>1.24800717137679</v>
      </c>
      <c r="K4" s="2">
        <v>1.79025508687392</v>
      </c>
      <c r="L4" s="2"/>
      <c r="M4" s="2"/>
    </row>
    <row r="5" spans="1:21" x14ac:dyDescent="0.2">
      <c r="A5" t="s">
        <v>102</v>
      </c>
      <c r="B5">
        <v>2031</v>
      </c>
      <c r="C5">
        <v>2044</v>
      </c>
      <c r="D5">
        <v>2066</v>
      </c>
      <c r="F5" t="s">
        <v>17</v>
      </c>
      <c r="G5" t="s">
        <v>41</v>
      </c>
      <c r="H5" t="s">
        <v>61</v>
      </c>
      <c r="J5" s="2">
        <v>1.10620723221233</v>
      </c>
      <c r="K5" s="2">
        <v>1.9836362436988699</v>
      </c>
      <c r="L5" s="2">
        <v>3.30951525175441</v>
      </c>
      <c r="M5" s="2"/>
    </row>
    <row r="6" spans="1:21" x14ac:dyDescent="0.2">
      <c r="A6" t="s">
        <v>39</v>
      </c>
      <c r="B6">
        <v>2014</v>
      </c>
      <c r="C6">
        <v>2027</v>
      </c>
      <c r="F6" t="s">
        <v>40</v>
      </c>
      <c r="G6" t="s">
        <v>29</v>
      </c>
      <c r="J6" s="2">
        <v>0.44814990008318001</v>
      </c>
      <c r="K6" s="2">
        <v>0.91811225325973</v>
      </c>
      <c r="L6" s="2"/>
      <c r="M6" s="2"/>
    </row>
    <row r="7" spans="1:21" x14ac:dyDescent="0.2">
      <c r="A7" t="s">
        <v>70</v>
      </c>
      <c r="B7">
        <v>2014</v>
      </c>
      <c r="C7">
        <v>2025</v>
      </c>
      <c r="D7">
        <v>2050</v>
      </c>
      <c r="F7" t="s">
        <v>40</v>
      </c>
      <c r="G7" t="s">
        <v>11</v>
      </c>
      <c r="H7" t="s">
        <v>52</v>
      </c>
      <c r="I7" t="s">
        <v>71</v>
      </c>
      <c r="J7" s="2">
        <v>0.39986685293692897</v>
      </c>
      <c r="K7" s="2">
        <v>1.07768163327819</v>
      </c>
      <c r="L7" s="2">
        <v>2.4992855354591899</v>
      </c>
      <c r="M7" s="2">
        <v>3.4649832266348399</v>
      </c>
    </row>
    <row r="8" spans="1:21" x14ac:dyDescent="0.2">
      <c r="A8" t="s">
        <v>108</v>
      </c>
      <c r="B8">
        <v>2013</v>
      </c>
      <c r="C8">
        <v>2023</v>
      </c>
      <c r="D8">
        <v>2041</v>
      </c>
      <c r="E8">
        <v>2055</v>
      </c>
      <c r="F8" t="s">
        <v>10</v>
      </c>
      <c r="G8" t="s">
        <v>22</v>
      </c>
      <c r="H8" t="s">
        <v>45</v>
      </c>
      <c r="I8" t="s">
        <v>79</v>
      </c>
      <c r="J8" s="2">
        <v>0.40323407208475398</v>
      </c>
      <c r="K8" s="2">
        <v>0.99704027529113504</v>
      </c>
      <c r="L8" s="2">
        <v>2.3371529190628499</v>
      </c>
      <c r="M8" s="2">
        <v>3.47663613778573</v>
      </c>
    </row>
    <row r="9" spans="1:21" x14ac:dyDescent="0.2">
      <c r="A9" t="s">
        <v>36</v>
      </c>
      <c r="B9">
        <v>2010</v>
      </c>
      <c r="C9">
        <v>2021</v>
      </c>
      <c r="F9" t="s">
        <v>37</v>
      </c>
      <c r="G9" t="s">
        <v>38</v>
      </c>
      <c r="J9" s="2">
        <v>0.214749413949505</v>
      </c>
      <c r="K9" s="2">
        <v>0.45363177546752198</v>
      </c>
      <c r="L9" s="2"/>
      <c r="M9" s="2"/>
    </row>
    <row r="10" spans="1:21" x14ac:dyDescent="0.2">
      <c r="A10" t="s">
        <v>67</v>
      </c>
      <c r="B10">
        <v>2010</v>
      </c>
      <c r="C10">
        <v>2021</v>
      </c>
      <c r="D10">
        <v>2045</v>
      </c>
      <c r="F10" t="s">
        <v>37</v>
      </c>
      <c r="G10" t="s">
        <v>38</v>
      </c>
      <c r="H10" t="s">
        <v>68</v>
      </c>
      <c r="I10" t="s">
        <v>69</v>
      </c>
      <c r="J10" s="2">
        <v>0.247648154364804</v>
      </c>
      <c r="K10" s="2">
        <v>0.91101201375336904</v>
      </c>
      <c r="L10" s="2">
        <v>1.9685270945232201</v>
      </c>
      <c r="M10" s="2">
        <v>3.1466245015463401</v>
      </c>
    </row>
    <row r="11" spans="1:21" x14ac:dyDescent="0.2">
      <c r="A11" t="s">
        <v>107</v>
      </c>
      <c r="B11">
        <v>2009</v>
      </c>
      <c r="C11">
        <v>2020</v>
      </c>
      <c r="D11">
        <v>2038</v>
      </c>
      <c r="E11">
        <v>2054</v>
      </c>
      <c r="F11" t="s">
        <v>93</v>
      </c>
      <c r="G11" t="s">
        <v>50</v>
      </c>
      <c r="H11" t="s">
        <v>16</v>
      </c>
      <c r="I11" t="s">
        <v>104</v>
      </c>
      <c r="J11" s="2">
        <v>0.177779995953596</v>
      </c>
      <c r="K11" s="2">
        <v>0.87309575963903396</v>
      </c>
      <c r="L11" s="2">
        <v>2.0574873323793699</v>
      </c>
      <c r="M11" s="2">
        <v>3.3368688512731399</v>
      </c>
    </row>
    <row r="12" spans="1:21" x14ac:dyDescent="0.2">
      <c r="A12" t="s">
        <v>34</v>
      </c>
      <c r="B12">
        <v>2028</v>
      </c>
      <c r="F12" t="s">
        <v>19</v>
      </c>
      <c r="G12" t="s">
        <v>26</v>
      </c>
      <c r="J12" s="2">
        <v>0.68443506444989699</v>
      </c>
      <c r="K12" s="2">
        <v>1.4934826904101901</v>
      </c>
      <c r="L12" s="2"/>
      <c r="M12" s="2"/>
    </row>
    <row r="13" spans="1:21" x14ac:dyDescent="0.2">
      <c r="A13" t="s">
        <v>64</v>
      </c>
      <c r="B13">
        <v>2031</v>
      </c>
      <c r="C13">
        <v>2049</v>
      </c>
      <c r="F13" t="s">
        <v>17</v>
      </c>
      <c r="G13" t="s">
        <v>65</v>
      </c>
      <c r="H13" t="s">
        <v>66</v>
      </c>
      <c r="J13" s="2">
        <v>0.79185877975170005</v>
      </c>
      <c r="K13" s="2">
        <v>0.94604524693873704</v>
      </c>
      <c r="L13" s="2">
        <v>1.9276448337221399</v>
      </c>
      <c r="M13" s="2"/>
    </row>
    <row r="14" spans="1:21" x14ac:dyDescent="0.2">
      <c r="A14" t="s">
        <v>106</v>
      </c>
      <c r="B14">
        <v>2029</v>
      </c>
      <c r="C14">
        <v>2041</v>
      </c>
      <c r="D14">
        <v>2059</v>
      </c>
      <c r="E14">
        <v>2073</v>
      </c>
      <c r="F14" t="s">
        <v>44</v>
      </c>
      <c r="G14" t="s">
        <v>45</v>
      </c>
      <c r="H14" t="s">
        <v>96</v>
      </c>
      <c r="I14" t="s">
        <v>80</v>
      </c>
      <c r="J14" s="2">
        <v>0.96419402225133399</v>
      </c>
      <c r="K14" s="2">
        <v>1.3750644292338701</v>
      </c>
      <c r="L14" s="2">
        <v>2.56942141305246</v>
      </c>
      <c r="M14" s="2">
        <v>3.6274086208958898</v>
      </c>
    </row>
    <row r="15" spans="1:21" x14ac:dyDescent="0.2">
      <c r="A15" t="s">
        <v>32</v>
      </c>
      <c r="B15">
        <v>2018</v>
      </c>
      <c r="F15" t="s">
        <v>33</v>
      </c>
      <c r="G15" t="s">
        <v>17</v>
      </c>
      <c r="J15" s="2">
        <v>0.71423186692603902</v>
      </c>
      <c r="K15" s="2">
        <v>0.94311847540844496</v>
      </c>
      <c r="L15" s="2"/>
      <c r="M15" s="2"/>
    </row>
    <row r="16" spans="1:21" x14ac:dyDescent="0.2">
      <c r="A16" t="s">
        <v>62</v>
      </c>
      <c r="B16">
        <v>2020</v>
      </c>
      <c r="C16">
        <v>2034</v>
      </c>
      <c r="F16" t="s">
        <v>50</v>
      </c>
      <c r="G16" t="s">
        <v>63</v>
      </c>
      <c r="H16" t="s">
        <v>51</v>
      </c>
      <c r="J16" s="2">
        <v>0.65928880106152898</v>
      </c>
      <c r="K16" s="2">
        <v>1.27930423687614</v>
      </c>
      <c r="L16" s="2">
        <v>2.4659900553596299</v>
      </c>
      <c r="M16" s="2"/>
    </row>
    <row r="17" spans="1:13" x14ac:dyDescent="0.2">
      <c r="A17" t="s">
        <v>105</v>
      </c>
      <c r="B17">
        <v>2019</v>
      </c>
      <c r="C17">
        <v>2030</v>
      </c>
      <c r="D17">
        <v>2052</v>
      </c>
      <c r="E17">
        <v>2067</v>
      </c>
      <c r="F17" t="s">
        <v>15</v>
      </c>
      <c r="G17" t="s">
        <v>12</v>
      </c>
      <c r="H17" t="s">
        <v>95</v>
      </c>
      <c r="I17" t="s">
        <v>60</v>
      </c>
      <c r="J17" s="2">
        <v>0.70134988166900303</v>
      </c>
      <c r="K17" s="2">
        <v>0.998950885644035</v>
      </c>
      <c r="L17" s="2">
        <v>2.7606360962669898</v>
      </c>
      <c r="M17" s="2">
        <v>3.5059260879304599</v>
      </c>
    </row>
    <row r="18" spans="1:13" x14ac:dyDescent="0.2">
      <c r="A18" t="s">
        <v>109</v>
      </c>
      <c r="B18">
        <v>2030</v>
      </c>
      <c r="C18">
        <v>2042</v>
      </c>
      <c r="D18">
        <v>2060</v>
      </c>
      <c r="E18">
        <v>2080</v>
      </c>
      <c r="F18" t="s">
        <v>12</v>
      </c>
      <c r="G18" t="s">
        <v>25</v>
      </c>
      <c r="H18" t="s">
        <v>26</v>
      </c>
      <c r="I18" t="s">
        <v>97</v>
      </c>
      <c r="J18" s="2">
        <v>1.14807129358736</v>
      </c>
      <c r="K18" s="2">
        <v>1.92835522339452</v>
      </c>
      <c r="L18" s="2">
        <v>3.00087035879264</v>
      </c>
      <c r="M18" s="2">
        <v>4.4327790092828199</v>
      </c>
    </row>
    <row r="19" spans="1:13" x14ac:dyDescent="0.2">
      <c r="A19" t="s">
        <v>110</v>
      </c>
      <c r="B19">
        <v>2030</v>
      </c>
      <c r="C19">
        <v>2042</v>
      </c>
      <c r="D19">
        <v>2060</v>
      </c>
      <c r="E19">
        <v>2080</v>
      </c>
      <c r="F19" t="s">
        <v>12</v>
      </c>
      <c r="G19" t="s">
        <v>25</v>
      </c>
      <c r="H19" t="s">
        <v>26</v>
      </c>
      <c r="I19" t="s">
        <v>97</v>
      </c>
      <c r="J19" s="2">
        <v>1.1304126238699299</v>
      </c>
      <c r="K19" s="2">
        <v>1.9069431740552201</v>
      </c>
      <c r="L19" s="2">
        <v>2.9731055991778002</v>
      </c>
      <c r="M19" s="2">
        <v>4.3885902773160099</v>
      </c>
    </row>
    <row r="20" spans="1:13" x14ac:dyDescent="0.2">
      <c r="A20" t="s">
        <v>49</v>
      </c>
      <c r="B20">
        <v>2020</v>
      </c>
      <c r="C20">
        <v>2039</v>
      </c>
      <c r="F20" t="s">
        <v>50</v>
      </c>
      <c r="G20" t="s">
        <v>28</v>
      </c>
      <c r="J20" s="2">
        <v>0.48637999999999998</v>
      </c>
      <c r="K20" s="2">
        <v>0.99413149999999995</v>
      </c>
      <c r="L20" s="2"/>
      <c r="M20" s="2"/>
    </row>
    <row r="21" spans="1:13" x14ac:dyDescent="0.2">
      <c r="A21" t="s">
        <v>81</v>
      </c>
      <c r="B21">
        <v>2019</v>
      </c>
      <c r="C21">
        <v>2034</v>
      </c>
      <c r="D21">
        <v>2066</v>
      </c>
      <c r="F21" t="s">
        <v>15</v>
      </c>
      <c r="G21" t="s">
        <v>63</v>
      </c>
      <c r="H21" t="s">
        <v>61</v>
      </c>
      <c r="J21" s="2">
        <v>0.52504269999999997</v>
      </c>
      <c r="K21" s="2">
        <v>1.4451324999999999</v>
      </c>
      <c r="L21" s="2">
        <v>2.7629134999999998</v>
      </c>
      <c r="M21" s="2"/>
    </row>
    <row r="22" spans="1:13" x14ac:dyDescent="0.2">
      <c r="A22" t="s">
        <v>111</v>
      </c>
      <c r="B22">
        <v>2019</v>
      </c>
      <c r="C22">
        <v>2035</v>
      </c>
      <c r="D22">
        <v>2051</v>
      </c>
      <c r="E22">
        <v>2067</v>
      </c>
      <c r="F22" t="s">
        <v>15</v>
      </c>
      <c r="G22" t="s">
        <v>43</v>
      </c>
      <c r="H22" t="s">
        <v>23</v>
      </c>
      <c r="I22" t="s">
        <v>60</v>
      </c>
      <c r="J22" s="2">
        <v>0.43056794999999998</v>
      </c>
      <c r="K22" s="2">
        <v>1.2029984</v>
      </c>
      <c r="L22" s="2">
        <v>2.6564833999999999</v>
      </c>
      <c r="M22" s="2">
        <v>4.1262420000000004</v>
      </c>
    </row>
    <row r="23" spans="1:13" x14ac:dyDescent="0.2">
      <c r="A23" t="s">
        <v>53</v>
      </c>
      <c r="J23" s="2"/>
      <c r="K23" s="2"/>
      <c r="L23" s="2"/>
      <c r="M23" s="2"/>
    </row>
    <row r="24" spans="1:13" x14ac:dyDescent="0.2">
      <c r="A24" t="s">
        <v>82</v>
      </c>
      <c r="B24">
        <v>2056</v>
      </c>
      <c r="C24">
        <v>2086</v>
      </c>
      <c r="F24" t="s">
        <v>58</v>
      </c>
      <c r="G24" t="s">
        <v>74</v>
      </c>
      <c r="J24" s="2">
        <v>1.6532092765525299</v>
      </c>
      <c r="K24" s="2">
        <v>2.1603128362584698</v>
      </c>
      <c r="L24" s="2"/>
      <c r="M24" s="2"/>
    </row>
    <row r="25" spans="1:13" x14ac:dyDescent="0.2">
      <c r="A25" t="s">
        <v>112</v>
      </c>
      <c r="B25">
        <v>2043</v>
      </c>
      <c r="C25">
        <v>2057</v>
      </c>
      <c r="D25">
        <v>2078</v>
      </c>
      <c r="F25" t="s">
        <v>20</v>
      </c>
      <c r="G25" t="s">
        <v>42</v>
      </c>
      <c r="H25" t="s">
        <v>103</v>
      </c>
      <c r="J25" s="2">
        <v>1.39116558498808</v>
      </c>
      <c r="K25" s="2">
        <v>1.78786858452693</v>
      </c>
      <c r="L25" s="2">
        <v>3.3017069074842902</v>
      </c>
      <c r="M25" s="2"/>
    </row>
    <row r="26" spans="1:13" x14ac:dyDescent="0.2">
      <c r="A26" t="s">
        <v>54</v>
      </c>
      <c r="J26" s="2"/>
      <c r="K26" s="2"/>
      <c r="L26" s="2"/>
      <c r="M26" s="2"/>
    </row>
    <row r="27" spans="1:13" x14ac:dyDescent="0.2">
      <c r="A27" t="s">
        <v>83</v>
      </c>
      <c r="B27">
        <v>2047</v>
      </c>
      <c r="C27">
        <v>2079</v>
      </c>
      <c r="F27" t="s">
        <v>78</v>
      </c>
      <c r="G27" t="s">
        <v>48</v>
      </c>
      <c r="J27" s="2">
        <v>1.4766804064679699</v>
      </c>
      <c r="K27" s="2">
        <v>1.9302608195684401</v>
      </c>
      <c r="L27" s="2"/>
      <c r="M27" s="2"/>
    </row>
    <row r="28" spans="1:13" x14ac:dyDescent="0.2">
      <c r="A28" t="s">
        <v>113</v>
      </c>
      <c r="B28">
        <v>2040</v>
      </c>
      <c r="C28">
        <v>2055</v>
      </c>
      <c r="D28">
        <v>2077</v>
      </c>
      <c r="F28" t="s">
        <v>18</v>
      </c>
      <c r="G28" t="s">
        <v>79</v>
      </c>
      <c r="H28" t="s">
        <v>90</v>
      </c>
      <c r="J28" s="2">
        <v>1.4563077935103701</v>
      </c>
      <c r="K28" s="2">
        <v>2.0562198799908602</v>
      </c>
      <c r="L28" s="2">
        <v>3.3375443506061302</v>
      </c>
      <c r="M28" s="2"/>
    </row>
  </sheetData>
  <mergeCells count="5">
    <mergeCell ref="B1:E1"/>
    <mergeCell ref="F1:I1"/>
    <mergeCell ref="J1:M1"/>
    <mergeCell ref="N1:Q1"/>
    <mergeCell ref="R1:U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8C05-2771-3848-B012-80E012E4F18B}">
  <dimension ref="A2:BF85"/>
  <sheetViews>
    <sheetView topLeftCell="AH37" workbookViewId="0">
      <selection activeCell="AT72" sqref="AT72"/>
    </sheetView>
  </sheetViews>
  <sheetFormatPr baseColWidth="10" defaultRowHeight="16" x14ac:dyDescent="0.2"/>
  <cols>
    <col min="1" max="1" width="21" style="21" customWidth="1"/>
    <col min="2" max="17" width="10.83203125" style="21"/>
    <col min="18" max="18" width="39.6640625" style="21" bestFit="1" customWidth="1"/>
    <col min="19" max="19" width="5.6640625" style="21" bestFit="1" customWidth="1"/>
    <col min="20" max="30" width="10.83203125" style="21"/>
    <col min="31" max="31" width="47.33203125" style="21" bestFit="1" customWidth="1"/>
    <col min="32" max="38" width="10.83203125" style="21"/>
    <col min="39" max="39" width="47.33203125" style="21" bestFit="1" customWidth="1"/>
    <col min="40" max="16384" width="10.83203125" style="21"/>
  </cols>
  <sheetData>
    <row r="2" spans="1:58" x14ac:dyDescent="0.2">
      <c r="A2" s="5" t="s">
        <v>160</v>
      </c>
      <c r="B2" s="5"/>
      <c r="C2" s="5" t="s">
        <v>1</v>
      </c>
      <c r="D2" s="5"/>
      <c r="E2" s="5"/>
      <c r="F2" s="5"/>
      <c r="G2" s="5" t="s">
        <v>114</v>
      </c>
      <c r="H2" s="5"/>
      <c r="I2" s="5"/>
      <c r="J2" s="5"/>
      <c r="K2" s="5" t="s">
        <v>161</v>
      </c>
      <c r="L2" s="5"/>
      <c r="M2" s="5"/>
      <c r="N2" s="5"/>
      <c r="R2" s="1" t="s">
        <v>0</v>
      </c>
      <c r="S2" s="1"/>
      <c r="T2" s="5" t="s">
        <v>1</v>
      </c>
      <c r="U2" s="5"/>
      <c r="V2" s="5"/>
      <c r="W2" s="5"/>
      <c r="X2" s="5" t="s">
        <v>114</v>
      </c>
      <c r="Y2" s="5"/>
      <c r="Z2" s="5"/>
      <c r="AA2" s="5"/>
      <c r="AE2" s="1" t="s">
        <v>0</v>
      </c>
      <c r="AF2" s="5" t="s">
        <v>1</v>
      </c>
      <c r="AG2" s="5"/>
      <c r="AH2" s="5"/>
      <c r="AI2" s="5"/>
      <c r="AM2" s="1" t="s">
        <v>0</v>
      </c>
      <c r="AN2" s="1"/>
      <c r="AO2" s="5" t="s">
        <v>1</v>
      </c>
      <c r="AP2" s="5"/>
      <c r="AQ2" s="5"/>
      <c r="AR2" s="5"/>
      <c r="AS2" s="5" t="s">
        <v>114</v>
      </c>
      <c r="AT2" s="5"/>
      <c r="AU2" s="5"/>
      <c r="AV2" s="5"/>
      <c r="AW2" s="5" t="s">
        <v>158</v>
      </c>
      <c r="AX2" s="5"/>
      <c r="AY2" s="5"/>
      <c r="AZ2" s="5"/>
      <c r="BA2" s="5" t="s">
        <v>159</v>
      </c>
      <c r="BB2" s="5"/>
      <c r="BC2" s="5"/>
      <c r="BD2" s="5"/>
      <c r="BE2"/>
      <c r="BF2"/>
    </row>
    <row r="3" spans="1:58" x14ac:dyDescent="0.2">
      <c r="A3" s="1" t="s">
        <v>117</v>
      </c>
      <c r="B3" s="1" t="s">
        <v>162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4</v>
      </c>
      <c r="L3" s="1" t="s">
        <v>5</v>
      </c>
      <c r="M3" s="1" t="s">
        <v>6</v>
      </c>
      <c r="N3" s="1" t="s">
        <v>7</v>
      </c>
      <c r="R3" s="1" t="s">
        <v>117</v>
      </c>
      <c r="S3" s="1" t="s">
        <v>142</v>
      </c>
      <c r="T3" s="1" t="s">
        <v>4</v>
      </c>
      <c r="U3" s="1" t="s">
        <v>5</v>
      </c>
      <c r="V3" s="1" t="s">
        <v>6</v>
      </c>
      <c r="W3" s="1" t="s">
        <v>7</v>
      </c>
      <c r="X3" s="1" t="s">
        <v>4</v>
      </c>
      <c r="Y3" s="1" t="s">
        <v>5</v>
      </c>
      <c r="Z3" s="1" t="s">
        <v>6</v>
      </c>
      <c r="AA3" s="1" t="s">
        <v>7</v>
      </c>
      <c r="AE3" s="1" t="s">
        <v>3</v>
      </c>
      <c r="AF3" s="1" t="s">
        <v>4</v>
      </c>
      <c r="AG3" s="1" t="s">
        <v>5</v>
      </c>
      <c r="AH3" s="1" t="s">
        <v>6</v>
      </c>
      <c r="AI3" s="1" t="s">
        <v>7</v>
      </c>
      <c r="AM3" s="1" t="s">
        <v>3</v>
      </c>
      <c r="AN3" s="1" t="s">
        <v>146</v>
      </c>
      <c r="AO3" s="1" t="s">
        <v>4</v>
      </c>
      <c r="AP3" s="1" t="s">
        <v>5</v>
      </c>
      <c r="AQ3" s="1" t="s">
        <v>6</v>
      </c>
      <c r="AR3" s="1" t="s">
        <v>7</v>
      </c>
      <c r="AS3" s="1" t="s">
        <v>4</v>
      </c>
      <c r="AT3" s="1" t="s">
        <v>5</v>
      </c>
      <c r="AU3" s="1" t="s">
        <v>6</v>
      </c>
      <c r="AV3" s="1" t="s">
        <v>7</v>
      </c>
      <c r="AW3" s="1" t="s">
        <v>4</v>
      </c>
      <c r="AX3" s="1" t="s">
        <v>5</v>
      </c>
      <c r="AY3" s="1" t="s">
        <v>6</v>
      </c>
      <c r="AZ3" s="1" t="s">
        <v>7</v>
      </c>
      <c r="BA3" s="1" t="s">
        <v>4</v>
      </c>
      <c r="BB3" s="1" t="s">
        <v>5</v>
      </c>
      <c r="BC3" s="1" t="s">
        <v>6</v>
      </c>
      <c r="BD3" s="1" t="s">
        <v>7</v>
      </c>
      <c r="BE3"/>
      <c r="BF3"/>
    </row>
    <row r="4" spans="1:58" x14ac:dyDescent="0.2">
      <c r="A4" s="6" t="s">
        <v>163</v>
      </c>
      <c r="B4" t="s">
        <v>164</v>
      </c>
      <c r="C4">
        <v>2024</v>
      </c>
      <c r="D4"/>
      <c r="E4"/>
      <c r="F4">
        <v>2088</v>
      </c>
      <c r="G4" s="2">
        <v>0.15918416752297701</v>
      </c>
      <c r="H4" s="2"/>
      <c r="I4" s="2"/>
      <c r="J4" s="2"/>
      <c r="K4" s="2">
        <v>9.0623809999999999E-2</v>
      </c>
      <c r="L4" s="2"/>
      <c r="M4" s="2"/>
      <c r="N4" s="2"/>
      <c r="R4" t="s">
        <v>126</v>
      </c>
      <c r="S4" t="s">
        <v>143</v>
      </c>
      <c r="T4">
        <v>2023</v>
      </c>
      <c r="U4">
        <v>2044</v>
      </c>
      <c r="V4">
        <v>2076</v>
      </c>
      <c r="W4">
        <v>2084</v>
      </c>
      <c r="X4" s="2">
        <v>0.46622947410301602</v>
      </c>
      <c r="Y4" s="2">
        <v>0.87075942812776297</v>
      </c>
      <c r="Z4" s="2">
        <v>1.8179915675410701</v>
      </c>
      <c r="AA4" s="2">
        <v>3.8378899609600099</v>
      </c>
      <c r="AE4" t="s">
        <v>24</v>
      </c>
      <c r="AF4">
        <v>2042</v>
      </c>
      <c r="AG4">
        <v>2058</v>
      </c>
      <c r="AH4">
        <v>2066</v>
      </c>
      <c r="AI4">
        <v>2055</v>
      </c>
      <c r="AM4" t="s">
        <v>9</v>
      </c>
      <c r="AN4" t="s">
        <v>147</v>
      </c>
      <c r="AO4">
        <v>2013</v>
      </c>
      <c r="AP4">
        <v>2025</v>
      </c>
      <c r="AQ4">
        <v>2050</v>
      </c>
      <c r="AR4">
        <v>2084</v>
      </c>
      <c r="AS4" s="2">
        <v>0.39268916094745798</v>
      </c>
      <c r="AT4" s="2">
        <v>1.12528774120191</v>
      </c>
      <c r="AU4" s="2">
        <v>2.4992855354591899</v>
      </c>
      <c r="AV4" s="2">
        <v>3.4649832266348399</v>
      </c>
      <c r="AW4" s="2">
        <f>MEDIAN(AS4:AS39)</f>
        <v>0.70779087429752097</v>
      </c>
      <c r="AX4" s="2">
        <f>MEDIAN(AT4:AT38)</f>
        <v>1.2996490999999999</v>
      </c>
      <c r="AY4" s="2">
        <f>MEDIAN(AU4:AU25)</f>
        <v>2.5343534742558251</v>
      </c>
      <c r="AZ4" s="2">
        <f>MEDIAN(AV4:AV19)</f>
        <v>3.52027187781992</v>
      </c>
      <c r="BA4" s="2">
        <f t="shared" ref="BA4:BD8" si="0">AW4*$X$13</f>
        <v>0.29232356670228443</v>
      </c>
      <c r="BB4" s="2">
        <f t="shared" si="0"/>
        <v>0.53676597731000808</v>
      </c>
      <c r="BC4" s="2">
        <f t="shared" si="0"/>
        <v>1.0467092382535734</v>
      </c>
      <c r="BD4" s="2">
        <f t="shared" si="0"/>
        <v>1.453901806953082</v>
      </c>
      <c r="BE4" t="s">
        <v>115</v>
      </c>
      <c r="BF4"/>
    </row>
    <row r="5" spans="1:58" x14ac:dyDescent="0.2">
      <c r="A5" s="7" t="s">
        <v>165</v>
      </c>
      <c r="B5" t="s">
        <v>166</v>
      </c>
      <c r="C5">
        <v>2024</v>
      </c>
      <c r="D5"/>
      <c r="E5"/>
      <c r="F5">
        <v>2083</v>
      </c>
      <c r="G5" s="2">
        <v>1.3653254416148299</v>
      </c>
      <c r="H5" s="2"/>
      <c r="I5" s="2"/>
      <c r="J5" s="2"/>
      <c r="K5" s="2">
        <v>1.0329398999999999</v>
      </c>
      <c r="L5" s="2"/>
      <c r="M5" s="2"/>
      <c r="N5" s="2"/>
      <c r="R5" t="s">
        <v>125</v>
      </c>
      <c r="S5" t="s">
        <v>143</v>
      </c>
      <c r="T5">
        <v>2012</v>
      </c>
      <c r="U5">
        <v>2034</v>
      </c>
      <c r="V5">
        <v>2070</v>
      </c>
      <c r="W5">
        <v>2086</v>
      </c>
      <c r="X5" s="2">
        <v>0.24525560358096299</v>
      </c>
      <c r="Y5" s="2">
        <v>0.96672905815973698</v>
      </c>
      <c r="Z5" s="2">
        <v>1.9388497246635801</v>
      </c>
      <c r="AA5" s="2">
        <v>3.5750805834353399</v>
      </c>
      <c r="AE5" t="s">
        <v>55</v>
      </c>
      <c r="AF5">
        <v>2036</v>
      </c>
      <c r="AG5">
        <v>2044</v>
      </c>
      <c r="AH5">
        <v>2050</v>
      </c>
      <c r="AI5">
        <v>2054</v>
      </c>
      <c r="AM5" t="s">
        <v>14</v>
      </c>
      <c r="AN5" t="s">
        <v>147</v>
      </c>
      <c r="AO5">
        <v>2019</v>
      </c>
      <c r="AP5">
        <v>2038</v>
      </c>
      <c r="AQ5">
        <v>2045</v>
      </c>
      <c r="AR5">
        <v>2081</v>
      </c>
      <c r="AS5" s="2">
        <v>0.5449524</v>
      </c>
      <c r="AT5" s="2">
        <v>1.2996490999999999</v>
      </c>
      <c r="AU5" s="2">
        <v>1.9685270945232201</v>
      </c>
      <c r="AV5" s="2">
        <v>3.1466245015463401</v>
      </c>
      <c r="AW5">
        <f>_xlfn.PERCENTILE.INC(AS4:AS39, 0.1)</f>
        <v>0.30939995094586498</v>
      </c>
      <c r="AX5">
        <f>_xlfn.PERCENTILE.INC(AT4:AT38, 0.1)</f>
        <v>0.91385210955591345</v>
      </c>
      <c r="AY5">
        <f>_xlfn.PERCENTILE.INC(AU4:AU25, 0.1)</f>
        <v>2.046051162747907</v>
      </c>
      <c r="AZ5">
        <f>_xlfn.PERCENTILE.INC(AV4:AV19, 0.1)</f>
        <v>3.339906805131224</v>
      </c>
      <c r="BA5" s="2">
        <f t="shared" si="0"/>
        <v>0.12778477440497268</v>
      </c>
      <c r="BB5" s="2">
        <f t="shared" si="0"/>
        <v>0.37742858491772313</v>
      </c>
      <c r="BC5" s="2">
        <f t="shared" si="0"/>
        <v>0.84503628864026348</v>
      </c>
      <c r="BD5" s="2">
        <f t="shared" si="0"/>
        <v>1.3794095193699654</v>
      </c>
      <c r="BE5" t="s">
        <v>154</v>
      </c>
      <c r="BF5"/>
    </row>
    <row r="6" spans="1:58" x14ac:dyDescent="0.2">
      <c r="A6" s="8" t="s">
        <v>167</v>
      </c>
      <c r="B6" t="s">
        <v>168</v>
      </c>
      <c r="C6">
        <v>2023</v>
      </c>
      <c r="D6"/>
      <c r="E6"/>
      <c r="F6">
        <v>2072</v>
      </c>
      <c r="G6" s="2">
        <v>0.56211865743001899</v>
      </c>
      <c r="H6" s="2"/>
      <c r="I6" s="2"/>
      <c r="J6" s="2"/>
      <c r="K6" s="2">
        <v>0.44223594999999999</v>
      </c>
      <c r="L6" s="2"/>
      <c r="M6" s="2"/>
      <c r="N6" s="2"/>
      <c r="R6" t="s">
        <v>119</v>
      </c>
      <c r="S6" t="s">
        <v>143</v>
      </c>
      <c r="T6">
        <v>2014</v>
      </c>
      <c r="U6">
        <v>2032</v>
      </c>
      <c r="V6">
        <v>2060</v>
      </c>
      <c r="W6">
        <v>2069</v>
      </c>
      <c r="X6" s="2">
        <v>0.31774715847441198</v>
      </c>
      <c r="Y6" s="2">
        <v>0.89545909033877502</v>
      </c>
      <c r="Z6" s="2">
        <v>2.2598840219002199</v>
      </c>
      <c r="AA6" s="2">
        <v>3.2761420921043301</v>
      </c>
      <c r="AE6" t="s">
        <v>102</v>
      </c>
      <c r="AF6">
        <v>2031</v>
      </c>
      <c r="AG6">
        <v>2027</v>
      </c>
      <c r="AH6">
        <v>2041</v>
      </c>
      <c r="AI6">
        <v>2073</v>
      </c>
      <c r="AM6" t="s">
        <v>24</v>
      </c>
      <c r="AN6" t="s">
        <v>148</v>
      </c>
      <c r="AO6">
        <v>2042</v>
      </c>
      <c r="AP6">
        <v>2027</v>
      </c>
      <c r="AQ6">
        <v>2085</v>
      </c>
      <c r="AR6">
        <v>2060</v>
      </c>
      <c r="AS6" s="2">
        <v>0.50765736677745898</v>
      </c>
      <c r="AT6" s="2">
        <v>0.91811225325973</v>
      </c>
      <c r="AU6" s="2">
        <v>1.9276448337221399</v>
      </c>
      <c r="AV6" s="2">
        <v>3.8095987673158902</v>
      </c>
      <c r="AW6">
        <f>_xlfn.PERCENTILE.INC(AS4:AS39, 0.25)</f>
        <v>0.42373448052118845</v>
      </c>
      <c r="AX6">
        <f>_xlfn.PERCENTILE.INC(AT4:AT38, 0.25)</f>
        <v>0.99799558046758508</v>
      </c>
      <c r="AY6">
        <f>_xlfn.PERCENTILE.INC(AU4:AU25, 0.25)</f>
        <v>2.3017558150316049</v>
      </c>
      <c r="AZ6">
        <f>_xlfn.PERCENTILE.INC(AV4:AV19, 0.25)</f>
        <v>3.4588945566587102</v>
      </c>
      <c r="BA6" s="2">
        <f t="shared" si="0"/>
        <v>0.1750058939423759</v>
      </c>
      <c r="BB6" s="2">
        <f t="shared" si="0"/>
        <v>0.41218054404127397</v>
      </c>
      <c r="BC6" s="2">
        <f t="shared" si="0"/>
        <v>0.95064445440267953</v>
      </c>
      <c r="BD6" s="2">
        <f t="shared" si="0"/>
        <v>1.4285524585960776</v>
      </c>
      <c r="BE6" t="s">
        <v>155</v>
      </c>
      <c r="BF6"/>
    </row>
    <row r="7" spans="1:58" x14ac:dyDescent="0.2">
      <c r="A7" s="9" t="s">
        <v>169</v>
      </c>
      <c r="B7" t="s">
        <v>170</v>
      </c>
      <c r="C7">
        <v>2017</v>
      </c>
      <c r="D7"/>
      <c r="E7"/>
      <c r="F7">
        <v>2067</v>
      </c>
      <c r="G7" s="2">
        <v>0.57081158955894795</v>
      </c>
      <c r="H7" s="2"/>
      <c r="I7" s="2"/>
      <c r="J7" s="2"/>
      <c r="K7" s="2">
        <v>0.586391</v>
      </c>
      <c r="L7" s="2"/>
      <c r="M7" s="2"/>
      <c r="N7" s="2"/>
      <c r="R7" t="s">
        <v>118</v>
      </c>
      <c r="S7" t="s">
        <v>143</v>
      </c>
      <c r="T7">
        <v>2044</v>
      </c>
      <c r="U7">
        <v>2047</v>
      </c>
      <c r="V7">
        <v>2060</v>
      </c>
      <c r="W7">
        <v>2088</v>
      </c>
      <c r="X7" s="2">
        <v>0.83663283039253999</v>
      </c>
      <c r="Y7" s="2">
        <v>0.89021165758271004</v>
      </c>
      <c r="Z7" s="2">
        <v>2.72245074781776</v>
      </c>
      <c r="AA7" s="2">
        <v>3.8460715047062499</v>
      </c>
      <c r="AE7" t="s">
        <v>39</v>
      </c>
      <c r="AF7">
        <v>2014</v>
      </c>
      <c r="AG7">
        <v>2025</v>
      </c>
      <c r="AH7">
        <v>2045</v>
      </c>
      <c r="AI7">
        <v>2067</v>
      </c>
      <c r="AM7" t="s">
        <v>39</v>
      </c>
      <c r="AN7" t="s">
        <v>148</v>
      </c>
      <c r="AO7">
        <v>2014</v>
      </c>
      <c r="AP7">
        <v>2021</v>
      </c>
      <c r="AQ7">
        <v>2063</v>
      </c>
      <c r="AR7">
        <v>2057</v>
      </c>
      <c r="AS7" s="2">
        <v>0.44814990008318001</v>
      </c>
      <c r="AT7" s="2">
        <v>0.45363177546752198</v>
      </c>
      <c r="AU7" s="2">
        <v>2.4659900553596299</v>
      </c>
      <c r="AV7" s="2">
        <v>3.5383904068558998</v>
      </c>
      <c r="AW7">
        <f>_xlfn.PERCENTILE.INC(AS4:AS39, 0.75)</f>
        <v>1.11225858012673</v>
      </c>
      <c r="AX7">
        <f>_xlfn.PERCENTILE.INC(AT4:AT38, 0.75)</f>
        <v>1.8485991304645699</v>
      </c>
      <c r="AY7">
        <f>_xlfn.PERCENTILE.INC(AU4:AU25, 0.75)</f>
        <v>2.99392916888893</v>
      </c>
      <c r="AZ7">
        <f>_xlfn.PERCENTILE.INC(AV4:AV19, 0.75)</f>
        <v>3.7640512307108902</v>
      </c>
      <c r="BA7" s="2">
        <f t="shared" si="0"/>
        <v>0.45937212112343717</v>
      </c>
      <c r="BB7" s="2">
        <f t="shared" si="0"/>
        <v>0.76348694345131007</v>
      </c>
      <c r="BC7" s="2">
        <f t="shared" si="0"/>
        <v>1.2365178541928024</v>
      </c>
      <c r="BD7" s="2">
        <f t="shared" si="0"/>
        <v>1.55458472405934</v>
      </c>
      <c r="BE7" t="s">
        <v>156</v>
      </c>
      <c r="BF7"/>
    </row>
    <row r="8" spans="1:58" x14ac:dyDescent="0.2">
      <c r="A8" s="10" t="s">
        <v>171</v>
      </c>
      <c r="B8" t="s">
        <v>172</v>
      </c>
      <c r="C8">
        <v>2038</v>
      </c>
      <c r="D8">
        <v>2059</v>
      </c>
      <c r="E8"/>
      <c r="F8">
        <v>2082</v>
      </c>
      <c r="G8" s="2">
        <v>0.63252829487877804</v>
      </c>
      <c r="H8" s="2">
        <v>1.610914836536</v>
      </c>
      <c r="I8" s="2"/>
      <c r="J8" s="2"/>
      <c r="K8" s="2">
        <v>0.35588681999999999</v>
      </c>
      <c r="L8" s="2">
        <v>1.1164337</v>
      </c>
      <c r="M8" s="2"/>
      <c r="N8" s="2"/>
      <c r="R8" t="s">
        <v>120</v>
      </c>
      <c r="S8" t="s">
        <v>143</v>
      </c>
      <c r="T8">
        <v>2011</v>
      </c>
      <c r="U8">
        <v>2044</v>
      </c>
      <c r="V8">
        <v>2050</v>
      </c>
      <c r="W8">
        <v>2071</v>
      </c>
      <c r="X8" s="2">
        <v>0.36656778123640099</v>
      </c>
      <c r="Y8" s="2">
        <v>1.0014052497016299</v>
      </c>
      <c r="Z8" s="2">
        <v>1.8766875938133201</v>
      </c>
      <c r="AA8" s="2">
        <v>3.4109224743312501</v>
      </c>
      <c r="AE8" t="s">
        <v>70</v>
      </c>
      <c r="AF8">
        <v>2014</v>
      </c>
      <c r="AG8">
        <v>2023</v>
      </c>
      <c r="AH8">
        <v>2038</v>
      </c>
      <c r="AI8">
        <v>2080</v>
      </c>
      <c r="AM8" t="s">
        <v>36</v>
      </c>
      <c r="AN8" t="s">
        <v>148</v>
      </c>
      <c r="AO8">
        <v>2010</v>
      </c>
      <c r="AP8">
        <v>2060</v>
      </c>
      <c r="AQ8">
        <v>2066</v>
      </c>
      <c r="AR8">
        <v>2084</v>
      </c>
      <c r="AS8" s="2">
        <v>0.214749413949505</v>
      </c>
      <c r="AT8" s="2">
        <v>1.4934826904101901</v>
      </c>
      <c r="AU8" s="2">
        <v>2.7629134999999998</v>
      </c>
      <c r="AV8" s="2">
        <v>3.5346176677093801</v>
      </c>
      <c r="AW8">
        <f>_xlfn.PERCENTILE.INC(AS4:AS39, 0.9)</f>
        <v>1.4237366892492251</v>
      </c>
      <c r="AX8">
        <f>_xlfn.PERCENTILE.INC(AT4:AT38, 0.9)</f>
        <v>2.046066781590504</v>
      </c>
      <c r="AY8">
        <f>_xlfn.PERCENTILE.INC(AU4:AU25, 0.9)</f>
        <v>3.3087344173273978</v>
      </c>
      <c r="AZ8">
        <f>_xlfn.PERCENTILE.INC(AV4:AV19, 0.9)</f>
        <v>4.3098857941212074</v>
      </c>
      <c r="BA8" s="2">
        <f t="shared" si="0"/>
        <v>0.58801519228303667</v>
      </c>
      <c r="BB8" s="2">
        <f t="shared" si="0"/>
        <v>0.84504273935323748</v>
      </c>
      <c r="BC8" s="2">
        <f t="shared" si="0"/>
        <v>1.3665350617916796</v>
      </c>
      <c r="BD8" s="2">
        <f t="shared" si="0"/>
        <v>1.7800189761805629</v>
      </c>
      <c r="BE8" t="s">
        <v>157</v>
      </c>
      <c r="BF8"/>
    </row>
    <row r="9" spans="1:58" x14ac:dyDescent="0.2">
      <c r="A9" s="11" t="s">
        <v>173</v>
      </c>
      <c r="B9" t="s">
        <v>174</v>
      </c>
      <c r="C9">
        <v>2023</v>
      </c>
      <c r="D9">
        <v>2045</v>
      </c>
      <c r="E9"/>
      <c r="F9"/>
      <c r="G9" s="2">
        <v>0.37880875913762102</v>
      </c>
      <c r="H9" s="2">
        <v>0.86234560615966405</v>
      </c>
      <c r="I9" s="2"/>
      <c r="J9" s="2"/>
      <c r="K9" s="2">
        <v>0.38333833</v>
      </c>
      <c r="L9" s="2">
        <v>0.77936709999999998</v>
      </c>
      <c r="M9" s="2"/>
      <c r="N9" s="2"/>
      <c r="R9" t="s">
        <v>121</v>
      </c>
      <c r="S9" t="s">
        <v>143</v>
      </c>
      <c r="T9">
        <v>2016</v>
      </c>
      <c r="U9">
        <v>2035</v>
      </c>
      <c r="V9">
        <v>2068</v>
      </c>
      <c r="W9">
        <v>2066</v>
      </c>
      <c r="X9" s="2">
        <v>0.387773928972933</v>
      </c>
      <c r="Y9" s="2">
        <v>0.58958780640360797</v>
      </c>
      <c r="Z9" s="2">
        <v>2.6047206391182098</v>
      </c>
      <c r="AA9" s="2"/>
      <c r="AE9" t="s">
        <v>108</v>
      </c>
      <c r="AF9">
        <v>2013</v>
      </c>
      <c r="AG9">
        <v>2021</v>
      </c>
      <c r="AH9">
        <v>2059</v>
      </c>
      <c r="AI9">
        <v>2080</v>
      </c>
      <c r="AM9" t="s">
        <v>34</v>
      </c>
      <c r="AN9" t="s">
        <v>148</v>
      </c>
      <c r="AO9">
        <v>2028</v>
      </c>
      <c r="AP9">
        <v>2031</v>
      </c>
      <c r="AQ9">
        <v>2075</v>
      </c>
      <c r="AR9">
        <v>2077</v>
      </c>
      <c r="AS9" s="2">
        <v>0.68443506444989699</v>
      </c>
      <c r="AT9" s="2">
        <v>0.94311847540844496</v>
      </c>
      <c r="AU9" s="2">
        <v>3.1576496725510599</v>
      </c>
      <c r="AV9" s="2">
        <v>3.34699536413342</v>
      </c>
      <c r="AW9"/>
      <c r="AX9"/>
      <c r="AY9"/>
      <c r="AZ9"/>
      <c r="BA9"/>
      <c r="BB9"/>
      <c r="BC9"/>
      <c r="BD9"/>
      <c r="BE9"/>
      <c r="BF9"/>
    </row>
    <row r="10" spans="1:58" x14ac:dyDescent="0.2">
      <c r="A10" s="12" t="s">
        <v>175</v>
      </c>
      <c r="B10" t="s">
        <v>176</v>
      </c>
      <c r="C10">
        <v>2023</v>
      </c>
      <c r="D10">
        <v>2045</v>
      </c>
      <c r="E10"/>
      <c r="G10" s="2">
        <v>0.457424211517724</v>
      </c>
      <c r="H10" s="2">
        <v>0.62479549838627901</v>
      </c>
      <c r="I10" s="2"/>
      <c r="J10" s="2"/>
      <c r="K10" s="2">
        <v>0.56741010000000003</v>
      </c>
      <c r="L10" s="2">
        <v>0.83607894000000005</v>
      </c>
      <c r="M10" s="2"/>
      <c r="N10" s="2"/>
      <c r="R10" t="s">
        <v>124</v>
      </c>
      <c r="S10" t="s">
        <v>143</v>
      </c>
      <c r="T10">
        <v>2085</v>
      </c>
      <c r="U10">
        <v>2032</v>
      </c>
      <c r="V10">
        <v>2055</v>
      </c>
      <c r="W10"/>
      <c r="X10" s="2">
        <v>1.41822244149666</v>
      </c>
      <c r="Y10" s="2">
        <v>0.81726423192909303</v>
      </c>
      <c r="Z10" s="2">
        <v>3.3167032989732199</v>
      </c>
      <c r="AA10" s="2"/>
      <c r="AE10" t="s">
        <v>36</v>
      </c>
      <c r="AF10">
        <v>2010</v>
      </c>
      <c r="AG10">
        <v>2021</v>
      </c>
      <c r="AH10">
        <v>2052</v>
      </c>
      <c r="AI10">
        <v>2067</v>
      </c>
      <c r="AM10" t="s">
        <v>32</v>
      </c>
      <c r="AN10" t="s">
        <v>148</v>
      </c>
      <c r="AO10">
        <v>2018</v>
      </c>
      <c r="AP10">
        <v>2039</v>
      </c>
      <c r="AQ10">
        <v>2044</v>
      </c>
      <c r="AR10">
        <v>2077</v>
      </c>
      <c r="AS10" s="2">
        <v>0.71423186692603902</v>
      </c>
      <c r="AT10" s="2">
        <v>0.99413149999999995</v>
      </c>
      <c r="AU10" s="2">
        <v>2.2924630200421401</v>
      </c>
      <c r="AV10" s="2">
        <v>3.4568650000000001</v>
      </c>
      <c r="AW10"/>
      <c r="AX10"/>
      <c r="AY10"/>
      <c r="AZ10"/>
      <c r="BA10"/>
      <c r="BB10"/>
      <c r="BC10"/>
      <c r="BD10"/>
      <c r="BE10"/>
      <c r="BF10"/>
    </row>
    <row r="11" spans="1:58" x14ac:dyDescent="0.2">
      <c r="A11" s="13" t="s">
        <v>177</v>
      </c>
      <c r="B11" t="s">
        <v>178</v>
      </c>
      <c r="C11">
        <v>2029</v>
      </c>
      <c r="D11">
        <v>2044</v>
      </c>
      <c r="E11">
        <v>2079</v>
      </c>
      <c r="G11" s="2">
        <v>1.28844432176343</v>
      </c>
      <c r="H11" s="2">
        <v>1.99852194768752</v>
      </c>
      <c r="I11" s="2">
        <v>2.8577991666382299</v>
      </c>
      <c r="J11" s="2"/>
      <c r="K11" s="2">
        <v>0.96591585999999996</v>
      </c>
      <c r="L11" s="2">
        <v>1.6673487</v>
      </c>
      <c r="M11" s="2">
        <v>2.4161831999999999</v>
      </c>
      <c r="N11" s="2"/>
      <c r="R11" t="s">
        <v>123</v>
      </c>
      <c r="S11" t="s">
        <v>143</v>
      </c>
      <c r="T11">
        <v>2022</v>
      </c>
      <c r="U11">
        <v>2059</v>
      </c>
      <c r="V11">
        <v>2048</v>
      </c>
      <c r="W11"/>
      <c r="X11" s="2">
        <v>0.24246749877933901</v>
      </c>
      <c r="Y11" s="2">
        <v>1.610914836536</v>
      </c>
      <c r="Z11" s="2">
        <v>2.1671324835882499</v>
      </c>
      <c r="AE11" t="s">
        <v>67</v>
      </c>
      <c r="AF11">
        <v>2010</v>
      </c>
      <c r="AG11">
        <v>2020</v>
      </c>
      <c r="AH11">
        <v>2060</v>
      </c>
      <c r="AI11"/>
      <c r="AM11" t="s">
        <v>49</v>
      </c>
      <c r="AN11" t="s">
        <v>148</v>
      </c>
      <c r="AO11">
        <v>2020</v>
      </c>
      <c r="AP11">
        <v>2058</v>
      </c>
      <c r="AQ11">
        <v>2040</v>
      </c>
      <c r="AR11">
        <v>2055</v>
      </c>
      <c r="AS11" s="2">
        <v>0.48637999999999998</v>
      </c>
      <c r="AT11" s="2">
        <v>1.79025508687392</v>
      </c>
      <c r="AU11" s="2">
        <v>2.1102778682003001</v>
      </c>
      <c r="AV11" s="2">
        <v>3.47663613778573</v>
      </c>
      <c r="AW11"/>
      <c r="AX11"/>
      <c r="AY11"/>
      <c r="AZ11"/>
      <c r="BA11"/>
      <c r="BB11"/>
      <c r="BC11"/>
      <c r="BD11"/>
      <c r="BE11"/>
      <c r="BF11"/>
    </row>
    <row r="12" spans="1:58" x14ac:dyDescent="0.2">
      <c r="A12" s="14" t="s">
        <v>179</v>
      </c>
      <c r="B12" t="s">
        <v>180</v>
      </c>
      <c r="C12">
        <v>2017</v>
      </c>
      <c r="D12">
        <v>2034</v>
      </c>
      <c r="E12">
        <v>2078</v>
      </c>
      <c r="G12" s="2">
        <v>0.36612952992296299</v>
      </c>
      <c r="H12" s="2">
        <v>0.83404442313203897</v>
      </c>
      <c r="I12" s="2">
        <v>2.1307141433336501</v>
      </c>
      <c r="J12" s="2"/>
      <c r="K12" s="2">
        <v>0.18303112999999999</v>
      </c>
      <c r="L12" s="2">
        <v>0.70583885999999996</v>
      </c>
      <c r="M12" s="2">
        <v>1.762397</v>
      </c>
      <c r="N12" s="2"/>
      <c r="R12" t="s">
        <v>133</v>
      </c>
      <c r="S12" t="s">
        <v>145</v>
      </c>
      <c r="T12">
        <v>2012</v>
      </c>
      <c r="U12">
        <v>2031</v>
      </c>
      <c r="V12">
        <v>2074</v>
      </c>
      <c r="X12" s="2">
        <v>0.26356427112833902</v>
      </c>
      <c r="Y12" s="2">
        <v>0.80277699364550803</v>
      </c>
      <c r="Z12" s="2">
        <v>2.51032525521738</v>
      </c>
      <c r="AE12" t="s">
        <v>107</v>
      </c>
      <c r="AF12">
        <v>2009</v>
      </c>
      <c r="AG12">
        <v>2049</v>
      </c>
      <c r="AH12">
        <v>2060</v>
      </c>
      <c r="AM12" t="s">
        <v>53</v>
      </c>
      <c r="AN12" t="s">
        <v>148</v>
      </c>
      <c r="AO12">
        <v>2036</v>
      </c>
      <c r="AP12">
        <v>2025</v>
      </c>
      <c r="AQ12">
        <v>2067</v>
      </c>
      <c r="AR12">
        <v>2054</v>
      </c>
      <c r="AS12" s="2">
        <v>1.24800717137679</v>
      </c>
      <c r="AT12" s="2">
        <v>1.07768163327819</v>
      </c>
      <c r="AU12" s="2">
        <v>2.3489683580133098</v>
      </c>
      <c r="AV12" s="2">
        <v>3.3368688512731399</v>
      </c>
      <c r="AW12"/>
      <c r="AX12"/>
      <c r="AY12"/>
      <c r="AZ12"/>
      <c r="BA12"/>
      <c r="BB12"/>
      <c r="BC12"/>
      <c r="BD12"/>
      <c r="BE12"/>
      <c r="BF12"/>
    </row>
    <row r="13" spans="1:58" x14ac:dyDescent="0.2">
      <c r="A13" s="15" t="s">
        <v>181</v>
      </c>
      <c r="B13" t="s">
        <v>182</v>
      </c>
      <c r="C13">
        <v>2023</v>
      </c>
      <c r="D13">
        <v>2045</v>
      </c>
      <c r="E13">
        <v>2068</v>
      </c>
      <c r="G13" s="2">
        <v>0.27052468193900803</v>
      </c>
      <c r="H13" s="2">
        <v>0.99868554009331101</v>
      </c>
      <c r="I13" s="2"/>
      <c r="J13" s="2"/>
      <c r="K13" s="2">
        <v>0.17434321</v>
      </c>
      <c r="L13" s="2">
        <v>0.79325056000000005</v>
      </c>
      <c r="M13" s="2"/>
      <c r="N13" s="2"/>
      <c r="R13" t="s">
        <v>132</v>
      </c>
      <c r="S13" t="s">
        <v>145</v>
      </c>
      <c r="T13">
        <v>2018</v>
      </c>
      <c r="U13">
        <v>2074</v>
      </c>
      <c r="V13">
        <v>2070</v>
      </c>
      <c r="X13" s="2">
        <v>0.41300838611745899</v>
      </c>
      <c r="Y13" s="2">
        <v>1.85172906098548</v>
      </c>
      <c r="Z13" s="2">
        <v>2.5225286695692</v>
      </c>
      <c r="AE13" t="s">
        <v>34</v>
      </c>
      <c r="AF13">
        <v>2028</v>
      </c>
      <c r="AG13">
        <v>2041</v>
      </c>
      <c r="AH13">
        <v>2066</v>
      </c>
      <c r="AM13" t="s">
        <v>54</v>
      </c>
      <c r="AN13" t="s">
        <v>148</v>
      </c>
      <c r="AO13">
        <v>2014</v>
      </c>
      <c r="AP13">
        <v>2021</v>
      </c>
      <c r="AQ13">
        <v>2058</v>
      </c>
      <c r="AR13">
        <v>2073</v>
      </c>
      <c r="AS13" s="2">
        <v>0.39986685293692897</v>
      </c>
      <c r="AT13" s="2">
        <v>0.91101201375336904</v>
      </c>
      <c r="AU13" s="2">
        <v>2.0447804772332998</v>
      </c>
      <c r="AV13" s="2">
        <v>3.6274086208958898</v>
      </c>
      <c r="AW13"/>
      <c r="AX13"/>
      <c r="AY13"/>
      <c r="AZ13"/>
      <c r="BA13"/>
      <c r="BB13"/>
      <c r="BC13"/>
      <c r="BD13"/>
      <c r="BE13"/>
      <c r="BF13"/>
    </row>
    <row r="14" spans="1:58" x14ac:dyDescent="0.2">
      <c r="A14" s="16" t="s">
        <v>183</v>
      </c>
      <c r="B14" t="s">
        <v>184</v>
      </c>
      <c r="C14">
        <v>2031</v>
      </c>
      <c r="D14">
        <v>2046</v>
      </c>
      <c r="E14">
        <v>2061</v>
      </c>
      <c r="G14" s="2">
        <v>0.80631215971271497</v>
      </c>
      <c r="H14" s="2">
        <v>1.5717548309150999</v>
      </c>
      <c r="I14" s="2">
        <v>2.6047206391182098</v>
      </c>
      <c r="J14" s="2">
        <v>3.8460715047062499</v>
      </c>
      <c r="K14" s="2">
        <v>0.50512855999999995</v>
      </c>
      <c r="L14" s="2">
        <v>1.0469978</v>
      </c>
      <c r="M14" s="2">
        <v>2.019355</v>
      </c>
      <c r="N14" s="2">
        <v>3.0102582</v>
      </c>
      <c r="R14" t="s">
        <v>128</v>
      </c>
      <c r="S14" t="s">
        <v>145</v>
      </c>
      <c r="T14">
        <v>2038</v>
      </c>
      <c r="U14">
        <v>2068</v>
      </c>
      <c r="X14" s="2">
        <v>0.63252829487877804</v>
      </c>
      <c r="Y14" s="2">
        <v>1.4275242982087399</v>
      </c>
      <c r="AE14" t="s">
        <v>64</v>
      </c>
      <c r="AF14">
        <v>2031</v>
      </c>
      <c r="AG14">
        <v>2034</v>
      </c>
      <c r="AH14">
        <v>2051</v>
      </c>
      <c r="AM14" t="s">
        <v>55</v>
      </c>
      <c r="AN14" t="s">
        <v>149</v>
      </c>
      <c r="AO14">
        <v>2010</v>
      </c>
      <c r="AP14">
        <v>2049</v>
      </c>
      <c r="AQ14">
        <v>2056</v>
      </c>
      <c r="AR14">
        <v>2067</v>
      </c>
      <c r="AS14" s="2">
        <v>0.247648154364804</v>
      </c>
      <c r="AT14" s="2">
        <v>0.94604524693873704</v>
      </c>
      <c r="AU14" s="2">
        <v>2.3296342000000001</v>
      </c>
      <c r="AV14" s="2">
        <v>3.5059260879304599</v>
      </c>
      <c r="AW14"/>
      <c r="AX14"/>
      <c r="AY14"/>
      <c r="AZ14"/>
      <c r="BA14"/>
      <c r="BB14"/>
      <c r="BC14"/>
      <c r="BD14"/>
      <c r="BE14"/>
      <c r="BF14" t="s">
        <v>153</v>
      </c>
    </row>
    <row r="15" spans="1:58" x14ac:dyDescent="0.2">
      <c r="A15" s="6" t="s">
        <v>185</v>
      </c>
      <c r="B15" t="s">
        <v>186</v>
      </c>
      <c r="C15">
        <v>2019</v>
      </c>
      <c r="D15">
        <v>2035</v>
      </c>
      <c r="E15">
        <v>2062</v>
      </c>
      <c r="G15" s="2">
        <v>0.32010671893003101</v>
      </c>
      <c r="H15" s="2">
        <v>0.94183442623305202</v>
      </c>
      <c r="I15" s="2">
        <v>1.93926760911421</v>
      </c>
      <c r="J15" s="2"/>
      <c r="K15" s="2">
        <v>0.23519899999999999</v>
      </c>
      <c r="L15" s="2">
        <v>0.70149916000000001</v>
      </c>
      <c r="M15" s="2">
        <v>1.7608200000000001</v>
      </c>
      <c r="N15" s="2"/>
      <c r="R15" t="s">
        <v>127</v>
      </c>
      <c r="S15" t="s">
        <v>145</v>
      </c>
      <c r="T15">
        <v>2014</v>
      </c>
      <c r="U15">
        <v>2037</v>
      </c>
      <c r="X15" s="2">
        <v>0.26854250166147098</v>
      </c>
      <c r="Y15" s="2">
        <v>1.4150692127368201</v>
      </c>
      <c r="AE15" t="s">
        <v>106</v>
      </c>
      <c r="AF15">
        <v>2029</v>
      </c>
      <c r="AG15">
        <v>2030</v>
      </c>
      <c r="AH15">
        <v>2078</v>
      </c>
      <c r="AM15" t="s">
        <v>70</v>
      </c>
      <c r="AN15" t="s">
        <v>149</v>
      </c>
      <c r="AO15">
        <v>2031</v>
      </c>
      <c r="AP15">
        <v>2034</v>
      </c>
      <c r="AQ15">
        <v>2091</v>
      </c>
      <c r="AR15">
        <v>2080</v>
      </c>
      <c r="AS15" s="2">
        <v>0.79185877975170005</v>
      </c>
      <c r="AT15" s="2">
        <v>1.27930423687614</v>
      </c>
      <c r="AU15" s="2">
        <v>3.6687247613706999</v>
      </c>
      <c r="AV15" s="2">
        <v>4.4327790092828199</v>
      </c>
      <c r="AW15"/>
      <c r="AX15"/>
      <c r="AY15"/>
      <c r="AZ15"/>
      <c r="BA15"/>
      <c r="BB15"/>
      <c r="BC15"/>
      <c r="BD15"/>
      <c r="BE15"/>
      <c r="BF15">
        <v>0.89001600000000003</v>
      </c>
    </row>
    <row r="16" spans="1:58" x14ac:dyDescent="0.2">
      <c r="A16" s="17" t="s">
        <v>187</v>
      </c>
      <c r="B16" t="s">
        <v>188</v>
      </c>
      <c r="C16">
        <v>2020</v>
      </c>
      <c r="D16">
        <v>2036</v>
      </c>
      <c r="E16">
        <v>2055</v>
      </c>
      <c r="G16" s="2">
        <v>0.33111575072592803</v>
      </c>
      <c r="H16" s="2">
        <v>0.90064316589890403</v>
      </c>
      <c r="I16" s="2">
        <v>1.5027791696181101</v>
      </c>
      <c r="J16" s="2">
        <v>2.9187363127111499</v>
      </c>
      <c r="K16" s="2">
        <v>0.50606775000000004</v>
      </c>
      <c r="L16" s="2">
        <v>0.98450917000000004</v>
      </c>
      <c r="M16" s="2">
        <v>1.5260384</v>
      </c>
      <c r="N16" s="2">
        <v>3.250985</v>
      </c>
      <c r="R16" t="s">
        <v>129</v>
      </c>
      <c r="S16" t="s">
        <v>145</v>
      </c>
      <c r="T16">
        <v>2040</v>
      </c>
      <c r="U16">
        <v>2029</v>
      </c>
      <c r="X16" s="2">
        <v>1.2713410977964501</v>
      </c>
      <c r="Y16" s="2">
        <v>0.85248630903591305</v>
      </c>
      <c r="AE16" t="s">
        <v>32</v>
      </c>
      <c r="AF16">
        <v>2018</v>
      </c>
      <c r="AG16">
        <v>2042</v>
      </c>
      <c r="AH16">
        <v>2077</v>
      </c>
      <c r="AM16" t="s">
        <v>67</v>
      </c>
      <c r="AN16" t="s">
        <v>149</v>
      </c>
      <c r="AO16">
        <v>2020</v>
      </c>
      <c r="AP16">
        <v>2050</v>
      </c>
      <c r="AQ16">
        <v>2066</v>
      </c>
      <c r="AR16">
        <v>2080</v>
      </c>
      <c r="AS16" s="2">
        <v>0.65928880106152898</v>
      </c>
      <c r="AT16" s="2">
        <v>1.6772889300680101</v>
      </c>
      <c r="AU16" s="2">
        <v>3.30951525175441</v>
      </c>
      <c r="AV16" s="2">
        <v>4.3885902773160099</v>
      </c>
      <c r="AW16"/>
      <c r="AX16"/>
      <c r="AY16"/>
      <c r="AZ16"/>
      <c r="BA16"/>
      <c r="BB16"/>
      <c r="BC16"/>
      <c r="BD16"/>
      <c r="BE16"/>
      <c r="BF16"/>
    </row>
    <row r="17" spans="1:58" x14ac:dyDescent="0.2">
      <c r="A17" s="18" t="s">
        <v>189</v>
      </c>
      <c r="B17" t="s">
        <v>190</v>
      </c>
      <c r="C17">
        <v>2024</v>
      </c>
      <c r="D17">
        <v>2036</v>
      </c>
      <c r="E17">
        <v>2051</v>
      </c>
      <c r="G17" s="2">
        <v>1.2518766969956201</v>
      </c>
      <c r="H17" s="2">
        <v>1.65339945881786</v>
      </c>
      <c r="I17" s="2">
        <v>2.85472428786268</v>
      </c>
      <c r="J17" s="2">
        <v>4.2617375100454602</v>
      </c>
      <c r="K17" s="2">
        <v>0.97386439999999996</v>
      </c>
      <c r="L17" s="2">
        <v>1.3713690999999999</v>
      </c>
      <c r="M17" s="2">
        <v>2.4136199999999999</v>
      </c>
      <c r="N17" s="2">
        <v>3.6632657000000002</v>
      </c>
      <c r="R17" t="s">
        <v>131</v>
      </c>
      <c r="S17" s="4" t="s">
        <v>145</v>
      </c>
      <c r="T17">
        <v>2042</v>
      </c>
      <c r="U17">
        <v>2027</v>
      </c>
      <c r="X17" s="2">
        <v>1.04776215729892</v>
      </c>
      <c r="Y17" s="2">
        <v>0.73833098234956296</v>
      </c>
      <c r="AE17" t="s">
        <v>62</v>
      </c>
      <c r="AF17">
        <v>2020</v>
      </c>
      <c r="AG17">
        <v>2042</v>
      </c>
      <c r="AM17" t="s">
        <v>64</v>
      </c>
      <c r="AN17" t="s">
        <v>149</v>
      </c>
      <c r="AO17">
        <v>2032</v>
      </c>
      <c r="AP17">
        <v>2050</v>
      </c>
      <c r="AQ17">
        <v>2041</v>
      </c>
      <c r="AR17">
        <v>2067</v>
      </c>
      <c r="AS17" s="2">
        <v>0.99720703714845305</v>
      </c>
      <c r="AT17" s="2">
        <v>1.65557634817044</v>
      </c>
      <c r="AU17" s="2">
        <v>2.3371529190628499</v>
      </c>
      <c r="AV17" s="2">
        <v>4.1262420000000004</v>
      </c>
      <c r="AW17"/>
      <c r="AX17"/>
      <c r="AY17"/>
      <c r="AZ17"/>
      <c r="BA17"/>
      <c r="BB17"/>
      <c r="BC17"/>
      <c r="BD17"/>
      <c r="BE17"/>
      <c r="BF17"/>
    </row>
    <row r="18" spans="1:58" x14ac:dyDescent="0.2">
      <c r="A18" s="19" t="s">
        <v>191</v>
      </c>
      <c r="B18" t="s">
        <v>192</v>
      </c>
      <c r="C18">
        <v>2016</v>
      </c>
      <c r="D18">
        <v>2031</v>
      </c>
      <c r="E18">
        <v>2062</v>
      </c>
      <c r="G18" s="2">
        <v>0.45625948782276199</v>
      </c>
      <c r="H18" s="2">
        <v>0.70197696001481202</v>
      </c>
      <c r="I18" s="2">
        <v>2.0070241649878402</v>
      </c>
      <c r="J18" s="2">
        <v>3.2069946275303298</v>
      </c>
      <c r="K18" s="2">
        <v>0.40934577999999999</v>
      </c>
      <c r="L18" s="2">
        <v>0.16441785</v>
      </c>
      <c r="M18" s="2">
        <v>0.91975899999999999</v>
      </c>
      <c r="N18" s="2">
        <v>2.1218149999999998</v>
      </c>
      <c r="R18" t="s">
        <v>130</v>
      </c>
      <c r="S18" s="4" t="s">
        <v>145</v>
      </c>
      <c r="T18">
        <v>2020</v>
      </c>
      <c r="U18">
        <v>2046</v>
      </c>
      <c r="X18" s="2">
        <v>0.25636699817790398</v>
      </c>
      <c r="Y18" s="2">
        <v>1.5717548309150999</v>
      </c>
      <c r="AE18" t="s">
        <v>105</v>
      </c>
      <c r="AF18">
        <v>2019</v>
      </c>
      <c r="AG18">
        <v>2039</v>
      </c>
      <c r="AM18" t="s">
        <v>62</v>
      </c>
      <c r="AN18" t="s">
        <v>149</v>
      </c>
      <c r="AO18">
        <v>2032</v>
      </c>
      <c r="AP18">
        <v>2034</v>
      </c>
      <c r="AQ18">
        <v>2038</v>
      </c>
      <c r="AS18" s="2">
        <v>0.98323817518911405</v>
      </c>
      <c r="AT18" s="2">
        <v>1.4451324999999999</v>
      </c>
      <c r="AU18" s="2">
        <v>2.0574873323793699</v>
      </c>
      <c r="AV18" s="2"/>
      <c r="AW18"/>
      <c r="AX18"/>
      <c r="AY18"/>
      <c r="AZ18"/>
      <c r="BA18"/>
      <c r="BB18"/>
      <c r="BC18"/>
      <c r="BD18"/>
      <c r="BE18"/>
      <c r="BF18"/>
    </row>
    <row r="19" spans="1:58" x14ac:dyDescent="0.2">
      <c r="A19" s="20" t="s">
        <v>193</v>
      </c>
      <c r="B19" t="s">
        <v>194</v>
      </c>
      <c r="C19">
        <v>2018</v>
      </c>
      <c r="D19">
        <v>2038</v>
      </c>
      <c r="E19"/>
      <c r="G19" s="2">
        <v>0.28053309122718101</v>
      </c>
      <c r="H19" s="2">
        <v>0.89448763529455499</v>
      </c>
      <c r="I19" s="2">
        <v>2.13368631998694</v>
      </c>
      <c r="J19" s="2">
        <v>3.25464655558264</v>
      </c>
      <c r="K19" s="2">
        <v>0.29101974000000003</v>
      </c>
      <c r="L19" s="2">
        <v>0.7321299</v>
      </c>
      <c r="M19" s="2">
        <v>1.7708900999999999</v>
      </c>
      <c r="N19" s="2">
        <v>2.7940573999999998</v>
      </c>
      <c r="R19" t="s">
        <v>141</v>
      </c>
      <c r="S19" t="s">
        <v>144</v>
      </c>
      <c r="T19">
        <v>2011</v>
      </c>
      <c r="U19">
        <v>2035</v>
      </c>
      <c r="X19" s="2">
        <v>0.19708605850399499</v>
      </c>
      <c r="Y19" s="2">
        <v>1.8814544179047701</v>
      </c>
      <c r="AE19" t="s">
        <v>109</v>
      </c>
      <c r="AF19">
        <v>2030</v>
      </c>
      <c r="AG19">
        <v>2034</v>
      </c>
      <c r="AM19" t="s">
        <v>76</v>
      </c>
      <c r="AN19" t="s">
        <v>149</v>
      </c>
      <c r="AO19">
        <v>2019</v>
      </c>
      <c r="AP19">
        <v>2086</v>
      </c>
      <c r="AQ19">
        <v>2059</v>
      </c>
      <c r="AS19" s="2">
        <v>0.52504269999999997</v>
      </c>
      <c r="AT19" s="2">
        <v>2.1603128362584698</v>
      </c>
      <c r="AU19" s="2">
        <v>2.56942141305246</v>
      </c>
      <c r="AV19" s="2"/>
      <c r="AW19"/>
      <c r="AX19"/>
      <c r="AY19"/>
      <c r="AZ19"/>
      <c r="BA19"/>
      <c r="BB19"/>
      <c r="BC19"/>
      <c r="BD19"/>
      <c r="BE19"/>
      <c r="BF19"/>
    </row>
    <row r="20" spans="1:58" x14ac:dyDescent="0.2">
      <c r="A20"/>
      <c r="B20"/>
      <c r="C20"/>
      <c r="D20"/>
      <c r="G20"/>
      <c r="H20"/>
      <c r="I20"/>
      <c r="J20"/>
      <c r="K20"/>
      <c r="L20"/>
      <c r="M20"/>
      <c r="N20"/>
      <c r="R20" t="s">
        <v>140</v>
      </c>
      <c r="S20" t="s">
        <v>144</v>
      </c>
      <c r="T20">
        <v>2014</v>
      </c>
      <c r="U20">
        <v>2027</v>
      </c>
      <c r="X20" s="2">
        <v>0.29994389569320301</v>
      </c>
      <c r="Y20" s="2">
        <v>0.97698444790303796</v>
      </c>
      <c r="AE20" t="s">
        <v>110</v>
      </c>
      <c r="AF20">
        <v>2030</v>
      </c>
      <c r="AG20">
        <v>2035</v>
      </c>
      <c r="AM20" t="s">
        <v>77</v>
      </c>
      <c r="AN20" t="s">
        <v>149</v>
      </c>
      <c r="AO20">
        <v>2056</v>
      </c>
      <c r="AP20">
        <v>2079</v>
      </c>
      <c r="AQ20">
        <v>2052</v>
      </c>
      <c r="AS20" s="2">
        <v>1.6532092765525299</v>
      </c>
      <c r="AT20" s="2">
        <v>1.9302608195684401</v>
      </c>
      <c r="AU20" s="2">
        <v>2.7606360962669898</v>
      </c>
      <c r="AW20"/>
      <c r="AX20"/>
      <c r="AY20"/>
      <c r="AZ20"/>
      <c r="BA20"/>
      <c r="BB20"/>
      <c r="BC20"/>
      <c r="BD20"/>
      <c r="BE20"/>
      <c r="BF20"/>
    </row>
    <row r="21" spans="1:58" x14ac:dyDescent="0.2">
      <c r="R21" t="s">
        <v>135</v>
      </c>
      <c r="S21" t="s">
        <v>144</v>
      </c>
      <c r="T21">
        <v>2031</v>
      </c>
      <c r="U21">
        <v>2050</v>
      </c>
      <c r="X21" s="2">
        <v>0.80631215971271497</v>
      </c>
      <c r="Y21" s="2">
        <v>1.1650189858895901</v>
      </c>
      <c r="AE21" t="s">
        <v>49</v>
      </c>
      <c r="AF21">
        <v>2020</v>
      </c>
      <c r="AG21">
        <v>2086</v>
      </c>
      <c r="AM21" t="s">
        <v>81</v>
      </c>
      <c r="AN21" t="s">
        <v>149</v>
      </c>
      <c r="AO21">
        <v>2047</v>
      </c>
      <c r="AP21">
        <v>2047</v>
      </c>
      <c r="AQ21">
        <v>2060</v>
      </c>
      <c r="AS21" s="2">
        <v>1.4766804064679699</v>
      </c>
      <c r="AT21" s="2">
        <v>2.0308371339899698</v>
      </c>
      <c r="AU21" s="2">
        <v>3.00087035879264</v>
      </c>
      <c r="AW21"/>
      <c r="AX21"/>
      <c r="AY21"/>
      <c r="AZ21"/>
      <c r="BA21"/>
      <c r="BB21"/>
      <c r="BC21"/>
      <c r="BD21"/>
      <c r="BE21"/>
      <c r="BF21"/>
    </row>
    <row r="22" spans="1:58" x14ac:dyDescent="0.2">
      <c r="R22" t="s">
        <v>134</v>
      </c>
      <c r="S22" t="s">
        <v>144</v>
      </c>
      <c r="T22">
        <v>2023</v>
      </c>
      <c r="U22">
        <v>2048</v>
      </c>
      <c r="X22" s="2">
        <v>1.2547776910347199</v>
      </c>
      <c r="Y22" s="2">
        <v>1.39141197204587</v>
      </c>
      <c r="AE22" t="s">
        <v>81</v>
      </c>
      <c r="AF22">
        <v>2019</v>
      </c>
      <c r="AG22">
        <v>2057</v>
      </c>
      <c r="AM22" t="s">
        <v>82</v>
      </c>
      <c r="AN22" t="s">
        <v>149</v>
      </c>
      <c r="AO22">
        <v>2033</v>
      </c>
      <c r="AP22">
        <v>2024</v>
      </c>
      <c r="AQ22">
        <v>2060</v>
      </c>
      <c r="AS22" s="2">
        <v>0.99175239911429003</v>
      </c>
      <c r="AT22" s="2">
        <v>1.11234708715366</v>
      </c>
      <c r="AU22" s="2">
        <v>2.9731055991778002</v>
      </c>
      <c r="AW22"/>
      <c r="AX22"/>
      <c r="AY22"/>
      <c r="AZ22"/>
      <c r="BA22"/>
      <c r="BB22"/>
      <c r="BC22"/>
      <c r="BD22"/>
      <c r="BE22"/>
      <c r="BF22"/>
    </row>
    <row r="23" spans="1:58" x14ac:dyDescent="0.2">
      <c r="R23" t="s">
        <v>136</v>
      </c>
      <c r="S23" t="s">
        <v>144</v>
      </c>
      <c r="T23">
        <v>2011</v>
      </c>
      <c r="X23" s="2">
        <v>0.27716342078308198</v>
      </c>
      <c r="AE23" t="s">
        <v>111</v>
      </c>
      <c r="AF23">
        <v>2019</v>
      </c>
      <c r="AG23">
        <v>2079</v>
      </c>
      <c r="AM23" t="s">
        <v>83</v>
      </c>
      <c r="AN23" t="s">
        <v>149</v>
      </c>
      <c r="AO23">
        <v>2014</v>
      </c>
      <c r="AP23">
        <v>2020</v>
      </c>
      <c r="AQ23">
        <v>2051</v>
      </c>
      <c r="AS23" s="2">
        <v>0.37115174752692598</v>
      </c>
      <c r="AT23" s="2">
        <v>0.76098490114573802</v>
      </c>
      <c r="AU23" s="2">
        <v>2.6564833999999999</v>
      </c>
      <c r="AW23"/>
      <c r="AX23"/>
      <c r="AY23"/>
      <c r="AZ23"/>
      <c r="BA23"/>
      <c r="BB23"/>
      <c r="BC23"/>
      <c r="BD23"/>
      <c r="BE23"/>
      <c r="BF23"/>
    </row>
    <row r="24" spans="1:58" x14ac:dyDescent="0.2">
      <c r="R24" t="s">
        <v>137</v>
      </c>
      <c r="S24" t="s">
        <v>144</v>
      </c>
      <c r="T24">
        <v>2033</v>
      </c>
      <c r="X24" s="2">
        <v>0.78084819934989003</v>
      </c>
      <c r="AE24" t="s">
        <v>53</v>
      </c>
      <c r="AF24">
        <v>2056</v>
      </c>
      <c r="AG24">
        <v>2055</v>
      </c>
      <c r="AM24" t="s">
        <v>86</v>
      </c>
      <c r="AN24" t="s">
        <v>150</v>
      </c>
      <c r="AO24">
        <v>2009</v>
      </c>
      <c r="AP24">
        <v>2046</v>
      </c>
      <c r="AQ24">
        <v>2078</v>
      </c>
      <c r="AS24" s="2">
        <v>0.202890579788851</v>
      </c>
      <c r="AT24" s="2">
        <v>1.2460704672045699</v>
      </c>
      <c r="AU24" s="2">
        <v>3.3017069074842902</v>
      </c>
      <c r="AW24"/>
      <c r="AX24"/>
      <c r="AY24"/>
      <c r="AZ24"/>
      <c r="BA24"/>
      <c r="BB24"/>
      <c r="BC24"/>
      <c r="BD24"/>
      <c r="BE24"/>
      <c r="BF24"/>
    </row>
    <row r="25" spans="1:58" x14ac:dyDescent="0.2">
      <c r="R25" t="s">
        <v>139</v>
      </c>
      <c r="S25" t="s">
        <v>144</v>
      </c>
      <c r="T25">
        <v>2034</v>
      </c>
      <c r="X25" s="2">
        <v>0.69072337680391005</v>
      </c>
      <c r="AE25" t="s">
        <v>82</v>
      </c>
      <c r="AF25">
        <v>2043</v>
      </c>
      <c r="AM25" t="s">
        <v>94</v>
      </c>
      <c r="AN25" t="s">
        <v>150</v>
      </c>
      <c r="AO25">
        <v>2033</v>
      </c>
      <c r="AP25">
        <v>2033</v>
      </c>
      <c r="AQ25">
        <v>2077</v>
      </c>
      <c r="AS25" s="2">
        <v>0.72322779682271798</v>
      </c>
      <c r="AT25" s="2">
        <v>1.1765928095117699</v>
      </c>
      <c r="AU25" s="2">
        <v>3.3375443506061302</v>
      </c>
      <c r="AW25"/>
      <c r="AX25"/>
      <c r="AY25"/>
      <c r="AZ25"/>
      <c r="BA25"/>
      <c r="BB25"/>
      <c r="BC25"/>
      <c r="BD25"/>
      <c r="BE25"/>
      <c r="BF25"/>
    </row>
    <row r="26" spans="1:58" x14ac:dyDescent="0.2">
      <c r="R26" t="s">
        <v>138</v>
      </c>
      <c r="S26" t="s">
        <v>144</v>
      </c>
      <c r="AE26" t="s">
        <v>112</v>
      </c>
      <c r="AF26">
        <v>2047</v>
      </c>
      <c r="AM26" t="s">
        <v>92</v>
      </c>
      <c r="AN26" t="s">
        <v>150</v>
      </c>
      <c r="AO26">
        <v>2020</v>
      </c>
      <c r="AP26">
        <v>2035</v>
      </c>
      <c r="AS26" s="2">
        <v>0.38601529090168102</v>
      </c>
      <c r="AT26" s="2">
        <v>1.3950653</v>
      </c>
      <c r="AW26"/>
      <c r="AX26"/>
      <c r="AY26"/>
      <c r="AZ26"/>
      <c r="BA26"/>
      <c r="BB26"/>
      <c r="BC26"/>
      <c r="BD26"/>
      <c r="BE26"/>
      <c r="BF26"/>
    </row>
    <row r="27" spans="1:58" x14ac:dyDescent="0.2">
      <c r="AE27" t="s">
        <v>54</v>
      </c>
      <c r="AF27">
        <v>2040</v>
      </c>
      <c r="AM27" t="s">
        <v>91</v>
      </c>
      <c r="AN27" t="s">
        <v>150</v>
      </c>
      <c r="AO27">
        <v>2020</v>
      </c>
      <c r="AP27">
        <v>2070</v>
      </c>
      <c r="AS27" s="2">
        <v>0.72077789999999997</v>
      </c>
      <c r="AT27" s="2">
        <v>2.1390993330213699</v>
      </c>
      <c r="AW27"/>
      <c r="AX27"/>
      <c r="AY27"/>
      <c r="AZ27"/>
      <c r="BA27"/>
      <c r="BB27"/>
      <c r="BC27"/>
      <c r="BD27"/>
      <c r="BE27"/>
      <c r="BF27"/>
    </row>
    <row r="28" spans="1:58" x14ac:dyDescent="0.2">
      <c r="AE28" t="s">
        <v>83</v>
      </c>
      <c r="AM28" t="s">
        <v>89</v>
      </c>
      <c r="AN28" t="s">
        <v>150</v>
      </c>
      <c r="AO28">
        <v>2052</v>
      </c>
      <c r="AP28">
        <v>2063</v>
      </c>
      <c r="AS28" s="2">
        <v>1.47873513963486</v>
      </c>
      <c r="AT28" s="2">
        <v>2.21944365083219</v>
      </c>
      <c r="AW28"/>
      <c r="AX28"/>
      <c r="AY28"/>
      <c r="AZ28"/>
      <c r="BA28"/>
      <c r="BB28"/>
      <c r="BC28"/>
      <c r="BD28"/>
      <c r="BE28"/>
      <c r="BF28"/>
    </row>
    <row r="29" spans="1:58" x14ac:dyDescent="0.2">
      <c r="AE29" t="s">
        <v>113</v>
      </c>
      <c r="AM29" t="s">
        <v>98</v>
      </c>
      <c r="AN29" t="s">
        <v>150</v>
      </c>
      <c r="AO29">
        <v>2047</v>
      </c>
      <c r="AP29">
        <v>2044</v>
      </c>
      <c r="AS29" s="2">
        <v>1.3241218433558199</v>
      </c>
      <c r="AT29" s="2">
        <v>1.9836362436988699</v>
      </c>
      <c r="AW29"/>
      <c r="AX29"/>
      <c r="AY29"/>
      <c r="AZ29"/>
      <c r="BA29"/>
      <c r="BB29"/>
      <c r="BC29"/>
      <c r="BD29"/>
      <c r="BE29"/>
      <c r="BF29"/>
    </row>
    <row r="30" spans="1:58" x14ac:dyDescent="0.2">
      <c r="AM30" t="s">
        <v>100</v>
      </c>
      <c r="AN30" t="s">
        <v>150</v>
      </c>
      <c r="AO30">
        <v>2031</v>
      </c>
      <c r="AP30">
        <v>2023</v>
      </c>
      <c r="AS30" s="2">
        <v>1.10620723221233</v>
      </c>
      <c r="AT30" s="2">
        <v>0.99704027529113504</v>
      </c>
      <c r="AW30"/>
      <c r="AX30"/>
      <c r="AY30"/>
      <c r="AZ30"/>
      <c r="BA30"/>
      <c r="BB30"/>
      <c r="BC30"/>
      <c r="BD30"/>
      <c r="BE30"/>
      <c r="BF30"/>
    </row>
    <row r="31" spans="1:58" x14ac:dyDescent="0.2">
      <c r="AM31" t="s">
        <v>101</v>
      </c>
      <c r="AN31" t="s">
        <v>150</v>
      </c>
      <c r="AO31">
        <v>2013</v>
      </c>
      <c r="AP31">
        <v>2020</v>
      </c>
      <c r="AS31" s="2">
        <v>0.40323407208475398</v>
      </c>
      <c r="AT31" s="2">
        <v>0.87309575963903396</v>
      </c>
      <c r="AW31"/>
      <c r="AX31"/>
      <c r="AY31"/>
      <c r="AZ31"/>
      <c r="BA31"/>
      <c r="BB31"/>
      <c r="BC31"/>
      <c r="BD31"/>
      <c r="BE31"/>
      <c r="BF31"/>
    </row>
    <row r="32" spans="1:58" x14ac:dyDescent="0.2">
      <c r="AM32" t="s">
        <v>102</v>
      </c>
      <c r="AN32" t="s">
        <v>151</v>
      </c>
      <c r="AO32">
        <v>2009</v>
      </c>
      <c r="AP32">
        <v>2041</v>
      </c>
      <c r="AS32" s="2">
        <v>0.177779995953596</v>
      </c>
      <c r="AT32" s="2">
        <v>1.3750644292338701</v>
      </c>
      <c r="AW32"/>
      <c r="AX32"/>
      <c r="AY32"/>
      <c r="AZ32"/>
      <c r="BA32"/>
      <c r="BB32"/>
      <c r="BC32"/>
      <c r="BD32"/>
      <c r="BE32"/>
      <c r="BF32"/>
    </row>
    <row r="33" spans="18:58" x14ac:dyDescent="0.2">
      <c r="R33" s="1" t="s">
        <v>0</v>
      </c>
      <c r="S33" s="1"/>
      <c r="T33" s="5" t="s">
        <v>1</v>
      </c>
      <c r="U33" s="5"/>
      <c r="V33" s="5"/>
      <c r="W33" s="5"/>
      <c r="AM33" t="s">
        <v>108</v>
      </c>
      <c r="AN33" t="s">
        <v>151</v>
      </c>
      <c r="AO33">
        <v>2029</v>
      </c>
      <c r="AP33">
        <v>2030</v>
      </c>
      <c r="AS33" s="2">
        <v>0.96419402225133399</v>
      </c>
      <c r="AT33" s="2">
        <v>0.998950885644035</v>
      </c>
      <c r="AW33"/>
      <c r="AX33"/>
      <c r="AY33"/>
      <c r="AZ33"/>
      <c r="BA33"/>
      <c r="BB33"/>
      <c r="BC33"/>
      <c r="BD33"/>
      <c r="BE33"/>
      <c r="BF33"/>
    </row>
    <row r="34" spans="18:58" x14ac:dyDescent="0.2">
      <c r="R34" s="1" t="s">
        <v>117</v>
      </c>
      <c r="S34" s="1" t="s">
        <v>142</v>
      </c>
      <c r="T34" s="1" t="s">
        <v>4</v>
      </c>
      <c r="U34" s="1" t="s">
        <v>5</v>
      </c>
      <c r="V34" s="1" t="s">
        <v>6</v>
      </c>
      <c r="W34" s="1" t="s">
        <v>7</v>
      </c>
      <c r="AM34" t="s">
        <v>107</v>
      </c>
      <c r="AN34" t="s">
        <v>151</v>
      </c>
      <c r="AO34">
        <v>2019</v>
      </c>
      <c r="AP34">
        <v>2042</v>
      </c>
      <c r="AS34" s="2">
        <v>0.70134988166900303</v>
      </c>
      <c r="AT34" s="2">
        <v>1.92835522339452</v>
      </c>
      <c r="AW34"/>
      <c r="AX34"/>
      <c r="AY34"/>
      <c r="AZ34"/>
      <c r="BA34"/>
      <c r="BB34"/>
      <c r="BC34"/>
      <c r="BD34"/>
      <c r="BE34"/>
      <c r="BF34"/>
    </row>
    <row r="35" spans="18:58" x14ac:dyDescent="0.2">
      <c r="R35" t="s">
        <v>126</v>
      </c>
      <c r="S35" t="s">
        <v>143</v>
      </c>
      <c r="T35">
        <v>2023</v>
      </c>
      <c r="U35"/>
      <c r="V35"/>
      <c r="W35"/>
      <c r="AM35" t="s">
        <v>106</v>
      </c>
      <c r="AN35" t="s">
        <v>151</v>
      </c>
      <c r="AO35">
        <v>2030</v>
      </c>
      <c r="AP35">
        <v>2042</v>
      </c>
      <c r="AS35" s="2">
        <v>1.14807129358736</v>
      </c>
      <c r="AT35" s="2">
        <v>1.9069431740552201</v>
      </c>
      <c r="AW35"/>
      <c r="AX35"/>
      <c r="AY35"/>
      <c r="AZ35"/>
      <c r="BA35"/>
      <c r="BB35"/>
      <c r="BC35"/>
      <c r="BD35"/>
      <c r="BE35"/>
      <c r="BF35"/>
    </row>
    <row r="36" spans="18:58" x14ac:dyDescent="0.2">
      <c r="R36" t="s">
        <v>125</v>
      </c>
      <c r="S36" t="s">
        <v>143</v>
      </c>
      <c r="T36">
        <v>2012</v>
      </c>
      <c r="U36">
        <v>2044</v>
      </c>
      <c r="V36"/>
      <c r="W36"/>
      <c r="AM36" t="s">
        <v>105</v>
      </c>
      <c r="AN36" t="s">
        <v>151</v>
      </c>
      <c r="AO36">
        <v>2030</v>
      </c>
      <c r="AP36">
        <v>2035</v>
      </c>
      <c r="AS36" s="2">
        <v>1.1304126238699299</v>
      </c>
      <c r="AT36" s="2">
        <v>1.2029984</v>
      </c>
      <c r="AW36"/>
      <c r="AX36"/>
      <c r="AY36"/>
      <c r="AZ36"/>
      <c r="BA36"/>
      <c r="BB36"/>
      <c r="BC36"/>
      <c r="BD36"/>
      <c r="BE36"/>
      <c r="BF36"/>
    </row>
    <row r="37" spans="18:58" x14ac:dyDescent="0.2">
      <c r="R37" t="s">
        <v>119</v>
      </c>
      <c r="S37" t="s">
        <v>143</v>
      </c>
      <c r="T37">
        <v>2014</v>
      </c>
      <c r="U37">
        <v>2034</v>
      </c>
      <c r="V37"/>
      <c r="W37"/>
      <c r="AM37" t="s">
        <v>109</v>
      </c>
      <c r="AN37" t="s">
        <v>151</v>
      </c>
      <c r="AO37">
        <v>2019</v>
      </c>
      <c r="AP37">
        <v>2057</v>
      </c>
      <c r="AS37" s="2">
        <v>0.43056794999999998</v>
      </c>
      <c r="AT37" s="2">
        <v>1.78786858452693</v>
      </c>
      <c r="AW37"/>
      <c r="AX37"/>
      <c r="AY37"/>
      <c r="AZ37"/>
      <c r="BA37"/>
      <c r="BB37"/>
      <c r="BC37"/>
      <c r="BD37"/>
      <c r="BE37"/>
      <c r="BF37"/>
    </row>
    <row r="38" spans="18:58" x14ac:dyDescent="0.2">
      <c r="R38" t="s">
        <v>118</v>
      </c>
      <c r="S38" t="s">
        <v>143</v>
      </c>
      <c r="T38">
        <v>2044</v>
      </c>
      <c r="U38">
        <v>2032</v>
      </c>
      <c r="V38"/>
      <c r="W38"/>
      <c r="AM38" t="s">
        <v>110</v>
      </c>
      <c r="AN38" t="s">
        <v>151</v>
      </c>
      <c r="AO38">
        <v>2043</v>
      </c>
      <c r="AP38">
        <v>2055</v>
      </c>
      <c r="AS38" s="2">
        <v>1.39116558498808</v>
      </c>
      <c r="AT38" s="2">
        <v>2.0562198799908602</v>
      </c>
      <c r="AW38"/>
      <c r="AX38"/>
      <c r="AY38"/>
      <c r="AZ38"/>
      <c r="BA38"/>
      <c r="BB38"/>
      <c r="BC38"/>
      <c r="BD38"/>
      <c r="BE38"/>
      <c r="BF38"/>
    </row>
    <row r="39" spans="18:58" x14ac:dyDescent="0.2">
      <c r="R39" t="s">
        <v>120</v>
      </c>
      <c r="S39" t="s">
        <v>143</v>
      </c>
      <c r="T39">
        <v>2011</v>
      </c>
      <c r="U39">
        <v>2047</v>
      </c>
      <c r="V39"/>
      <c r="W39"/>
      <c r="AM39" t="s">
        <v>111</v>
      </c>
      <c r="AN39" t="s">
        <v>151</v>
      </c>
      <c r="AO39">
        <v>2040</v>
      </c>
      <c r="AS39" s="2">
        <v>1.4563077935103701</v>
      </c>
      <c r="AW39"/>
      <c r="AX39"/>
      <c r="AY39"/>
      <c r="AZ39"/>
      <c r="BA39"/>
      <c r="BB39"/>
      <c r="BC39"/>
      <c r="BD39"/>
      <c r="BE39"/>
      <c r="BF39"/>
    </row>
    <row r="40" spans="18:58" x14ac:dyDescent="0.2">
      <c r="R40" t="s">
        <v>121</v>
      </c>
      <c r="S40" t="s">
        <v>143</v>
      </c>
      <c r="T40">
        <v>2016</v>
      </c>
      <c r="V40"/>
      <c r="W40"/>
      <c r="AM40" t="s">
        <v>112</v>
      </c>
      <c r="AN40" t="s">
        <v>151</v>
      </c>
      <c r="AW40"/>
      <c r="AX40"/>
      <c r="AY40"/>
      <c r="AZ40"/>
      <c r="BA40"/>
      <c r="BB40"/>
      <c r="BC40"/>
      <c r="BD40"/>
      <c r="BE40"/>
      <c r="BF40"/>
    </row>
    <row r="41" spans="18:58" x14ac:dyDescent="0.2">
      <c r="R41" t="s">
        <v>123</v>
      </c>
      <c r="S41" t="s">
        <v>143</v>
      </c>
      <c r="T41">
        <v>2085</v>
      </c>
      <c r="U41"/>
      <c r="V41"/>
      <c r="W41"/>
      <c r="AM41" t="s">
        <v>113</v>
      </c>
      <c r="AN41" t="s">
        <v>151</v>
      </c>
      <c r="AW41"/>
      <c r="AX41"/>
      <c r="AY41"/>
      <c r="AZ41"/>
      <c r="BA41"/>
      <c r="BB41"/>
      <c r="BC41"/>
      <c r="BD41"/>
      <c r="BE41"/>
      <c r="BF41"/>
    </row>
    <row r="42" spans="18:58" x14ac:dyDescent="0.2">
      <c r="R42" t="s">
        <v>133</v>
      </c>
      <c r="S42" t="s">
        <v>145</v>
      </c>
      <c r="T42">
        <v>2022</v>
      </c>
      <c r="U42">
        <v>2044</v>
      </c>
      <c r="V42"/>
      <c r="W42"/>
    </row>
    <row r="43" spans="18:58" x14ac:dyDescent="0.2">
      <c r="R43" t="s">
        <v>132</v>
      </c>
      <c r="S43" t="s">
        <v>145</v>
      </c>
      <c r="T43">
        <v>2012</v>
      </c>
      <c r="U43">
        <v>2035</v>
      </c>
      <c r="V43"/>
      <c r="W43"/>
    </row>
    <row r="44" spans="18:58" x14ac:dyDescent="0.2">
      <c r="R44" t="s">
        <v>128</v>
      </c>
      <c r="S44" t="s">
        <v>145</v>
      </c>
      <c r="T44">
        <v>2018</v>
      </c>
      <c r="U44">
        <v>2032</v>
      </c>
      <c r="V44"/>
      <c r="W44"/>
    </row>
    <row r="45" spans="18:58" x14ac:dyDescent="0.2">
      <c r="R45" t="s">
        <v>127</v>
      </c>
      <c r="S45" t="s">
        <v>145</v>
      </c>
      <c r="T45">
        <v>2038</v>
      </c>
      <c r="U45">
        <v>2059</v>
      </c>
      <c r="V45"/>
      <c r="W45"/>
    </row>
    <row r="46" spans="18:58" x14ac:dyDescent="0.2">
      <c r="R46" t="s">
        <v>129</v>
      </c>
      <c r="S46" t="s">
        <v>145</v>
      </c>
      <c r="T46">
        <v>2014</v>
      </c>
      <c r="U46">
        <v>2031</v>
      </c>
      <c r="V46"/>
      <c r="W46"/>
      <c r="AM46" s="1" t="s">
        <v>0</v>
      </c>
      <c r="AN46" s="1"/>
      <c r="AO46" s="5" t="s">
        <v>1</v>
      </c>
      <c r="AP46" s="5"/>
      <c r="AQ46" s="5"/>
      <c r="AR46" s="5"/>
    </row>
    <row r="47" spans="18:58" x14ac:dyDescent="0.2">
      <c r="R47" t="s">
        <v>131</v>
      </c>
      <c r="S47" s="4" t="s">
        <v>145</v>
      </c>
      <c r="T47">
        <v>2040</v>
      </c>
      <c r="U47">
        <v>2074</v>
      </c>
      <c r="V47"/>
      <c r="W47"/>
      <c r="AM47" s="1" t="s">
        <v>3</v>
      </c>
      <c r="AN47" s="1" t="s">
        <v>146</v>
      </c>
      <c r="AO47" s="1" t="s">
        <v>4</v>
      </c>
      <c r="AP47" s="1" t="s">
        <v>5</v>
      </c>
      <c r="AQ47" s="1" t="s">
        <v>6</v>
      </c>
      <c r="AR47" s="1" t="s">
        <v>7</v>
      </c>
    </row>
    <row r="48" spans="18:58" x14ac:dyDescent="0.2">
      <c r="R48" t="s">
        <v>130</v>
      </c>
      <c r="S48" s="4" t="s">
        <v>145</v>
      </c>
      <c r="T48">
        <v>2042</v>
      </c>
      <c r="U48">
        <v>2068</v>
      </c>
      <c r="V48"/>
      <c r="W48"/>
      <c r="AM48"/>
      <c r="AN48"/>
      <c r="AO48"/>
      <c r="AP48"/>
      <c r="AQ48"/>
      <c r="AR48"/>
    </row>
    <row r="49" spans="18:44" x14ac:dyDescent="0.2">
      <c r="R49" t="s">
        <v>141</v>
      </c>
      <c r="S49" t="s">
        <v>144</v>
      </c>
      <c r="T49">
        <v>2020</v>
      </c>
      <c r="U49">
        <v>2037</v>
      </c>
      <c r="V49"/>
      <c r="W49"/>
      <c r="AM49"/>
      <c r="AN49"/>
      <c r="AO49"/>
      <c r="AP49"/>
      <c r="AQ49"/>
      <c r="AR49"/>
    </row>
    <row r="50" spans="18:44" x14ac:dyDescent="0.2">
      <c r="R50" t="s">
        <v>140</v>
      </c>
      <c r="S50" t="s">
        <v>144</v>
      </c>
      <c r="T50">
        <v>2011</v>
      </c>
      <c r="U50">
        <v>2029</v>
      </c>
      <c r="V50"/>
      <c r="W50"/>
      <c r="AM50" t="s">
        <v>24</v>
      </c>
      <c r="AN50" t="s">
        <v>148</v>
      </c>
      <c r="AO50">
        <v>2042</v>
      </c>
      <c r="AP50"/>
      <c r="AQ50"/>
      <c r="AR50"/>
    </row>
    <row r="51" spans="18:44" x14ac:dyDescent="0.2">
      <c r="R51" t="s">
        <v>135</v>
      </c>
      <c r="S51" t="s">
        <v>144</v>
      </c>
      <c r="T51">
        <v>2014</v>
      </c>
      <c r="U51">
        <v>2027</v>
      </c>
      <c r="V51"/>
      <c r="W51"/>
      <c r="AM51" t="s">
        <v>39</v>
      </c>
      <c r="AN51" t="s">
        <v>148</v>
      </c>
      <c r="AO51">
        <v>2014</v>
      </c>
      <c r="AP51">
        <v>2027</v>
      </c>
      <c r="AQ51"/>
      <c r="AR51"/>
    </row>
    <row r="52" spans="18:44" x14ac:dyDescent="0.2">
      <c r="R52" t="s">
        <v>134</v>
      </c>
      <c r="S52" t="s">
        <v>144</v>
      </c>
      <c r="T52">
        <v>2031</v>
      </c>
      <c r="U52">
        <v>2046</v>
      </c>
      <c r="V52"/>
      <c r="W52"/>
      <c r="AM52" t="s">
        <v>36</v>
      </c>
      <c r="AN52" t="s">
        <v>148</v>
      </c>
      <c r="AO52">
        <v>2010</v>
      </c>
      <c r="AP52">
        <v>2021</v>
      </c>
      <c r="AQ52"/>
      <c r="AR52"/>
    </row>
    <row r="53" spans="18:44" x14ac:dyDescent="0.2">
      <c r="R53" t="s">
        <v>136</v>
      </c>
      <c r="S53" t="s">
        <v>144</v>
      </c>
      <c r="T53">
        <v>2023</v>
      </c>
      <c r="U53">
        <v>2035</v>
      </c>
      <c r="V53"/>
      <c r="W53"/>
      <c r="AM53" t="s">
        <v>34</v>
      </c>
      <c r="AN53" t="s">
        <v>148</v>
      </c>
      <c r="AO53">
        <v>2028</v>
      </c>
      <c r="AP53">
        <v>2060</v>
      </c>
      <c r="AQ53"/>
      <c r="AR53"/>
    </row>
    <row r="54" spans="18:44" x14ac:dyDescent="0.2">
      <c r="R54" t="s">
        <v>137</v>
      </c>
      <c r="S54" t="s">
        <v>144</v>
      </c>
      <c r="T54">
        <v>2011</v>
      </c>
      <c r="U54">
        <v>2027</v>
      </c>
      <c r="V54"/>
      <c r="W54"/>
      <c r="AM54" t="s">
        <v>32</v>
      </c>
      <c r="AN54" t="s">
        <v>148</v>
      </c>
      <c r="AO54">
        <v>2018</v>
      </c>
      <c r="AP54">
        <v>2031</v>
      </c>
      <c r="AQ54"/>
      <c r="AR54"/>
    </row>
    <row r="55" spans="18:44" x14ac:dyDescent="0.2">
      <c r="R55" t="s">
        <v>139</v>
      </c>
      <c r="S55" t="s">
        <v>144</v>
      </c>
      <c r="T55">
        <v>2033</v>
      </c>
      <c r="U55">
        <v>2050</v>
      </c>
      <c r="V55"/>
      <c r="W55"/>
      <c r="AM55" t="s">
        <v>49</v>
      </c>
      <c r="AN55" t="s">
        <v>148</v>
      </c>
      <c r="AO55">
        <v>2020</v>
      </c>
      <c r="AP55">
        <v>2039</v>
      </c>
      <c r="AQ55"/>
      <c r="AR55"/>
    </row>
    <row r="56" spans="18:44" x14ac:dyDescent="0.2">
      <c r="R56" t="s">
        <v>138</v>
      </c>
      <c r="S56" t="s">
        <v>144</v>
      </c>
      <c r="T56">
        <v>2034</v>
      </c>
      <c r="U56">
        <v>2048</v>
      </c>
      <c r="V56"/>
      <c r="W56"/>
      <c r="AM56" t="s">
        <v>53</v>
      </c>
      <c r="AN56" t="s">
        <v>148</v>
      </c>
      <c r="AO56"/>
      <c r="AP56"/>
      <c r="AQ56"/>
      <c r="AR56"/>
    </row>
    <row r="57" spans="18:44" x14ac:dyDescent="0.2">
      <c r="AM57" t="s">
        <v>54</v>
      </c>
      <c r="AN57" t="s">
        <v>148</v>
      </c>
      <c r="AO57"/>
      <c r="AP57"/>
      <c r="AQ57"/>
      <c r="AR57"/>
    </row>
    <row r="58" spans="18:44" x14ac:dyDescent="0.2">
      <c r="AM58" t="s">
        <v>55</v>
      </c>
      <c r="AN58" t="s">
        <v>149</v>
      </c>
      <c r="AO58">
        <v>2036</v>
      </c>
      <c r="AP58">
        <v>2058</v>
      </c>
      <c r="AQ58"/>
      <c r="AR58"/>
    </row>
    <row r="59" spans="18:44" x14ac:dyDescent="0.2">
      <c r="AM59" t="s">
        <v>70</v>
      </c>
      <c r="AN59" t="s">
        <v>149</v>
      </c>
      <c r="AO59">
        <v>2014</v>
      </c>
      <c r="AP59">
        <v>2025</v>
      </c>
      <c r="AQ59"/>
      <c r="AR59"/>
    </row>
    <row r="60" spans="18:44" x14ac:dyDescent="0.2">
      <c r="AM60" t="s">
        <v>67</v>
      </c>
      <c r="AN60" t="s">
        <v>149</v>
      </c>
      <c r="AO60">
        <v>2010</v>
      </c>
      <c r="AP60">
        <v>2021</v>
      </c>
      <c r="AQ60"/>
      <c r="AR60"/>
    </row>
    <row r="61" spans="18:44" x14ac:dyDescent="0.2">
      <c r="AM61" t="s">
        <v>64</v>
      </c>
      <c r="AN61" t="s">
        <v>149</v>
      </c>
      <c r="AO61">
        <v>2031</v>
      </c>
      <c r="AP61">
        <v>2049</v>
      </c>
      <c r="AQ61"/>
      <c r="AR61"/>
    </row>
    <row r="62" spans="18:44" x14ac:dyDescent="0.2">
      <c r="AM62" t="s">
        <v>62</v>
      </c>
      <c r="AN62" t="s">
        <v>149</v>
      </c>
      <c r="AO62">
        <v>2020</v>
      </c>
      <c r="AP62">
        <v>2034</v>
      </c>
      <c r="AQ62"/>
      <c r="AR62"/>
    </row>
    <row r="63" spans="18:44" x14ac:dyDescent="0.2">
      <c r="AM63" t="s">
        <v>76</v>
      </c>
      <c r="AN63" t="s">
        <v>149</v>
      </c>
      <c r="AO63">
        <v>2032</v>
      </c>
      <c r="AP63">
        <v>2050</v>
      </c>
      <c r="AQ63"/>
      <c r="AR63"/>
    </row>
    <row r="64" spans="18:44" x14ac:dyDescent="0.2">
      <c r="AM64" t="s">
        <v>77</v>
      </c>
      <c r="AN64" t="s">
        <v>149</v>
      </c>
      <c r="AO64">
        <v>2032</v>
      </c>
      <c r="AP64">
        <v>2050</v>
      </c>
      <c r="AQ64"/>
      <c r="AR64"/>
    </row>
    <row r="65" spans="39:44" x14ac:dyDescent="0.2">
      <c r="AM65" t="s">
        <v>81</v>
      </c>
      <c r="AN65" t="s">
        <v>149</v>
      </c>
      <c r="AO65">
        <v>2019</v>
      </c>
      <c r="AP65">
        <v>2034</v>
      </c>
      <c r="AQ65"/>
      <c r="AR65"/>
    </row>
    <row r="66" spans="39:44" x14ac:dyDescent="0.2">
      <c r="AM66" t="s">
        <v>82</v>
      </c>
      <c r="AN66" t="s">
        <v>149</v>
      </c>
      <c r="AO66">
        <v>2056</v>
      </c>
      <c r="AP66">
        <v>2086</v>
      </c>
      <c r="AQ66"/>
      <c r="AR66"/>
    </row>
    <row r="67" spans="39:44" x14ac:dyDescent="0.2">
      <c r="AM67" t="s">
        <v>83</v>
      </c>
      <c r="AN67" t="s">
        <v>149</v>
      </c>
      <c r="AO67">
        <v>2047</v>
      </c>
      <c r="AP67">
        <v>2079</v>
      </c>
      <c r="AQ67"/>
      <c r="AR67"/>
    </row>
    <row r="68" spans="39:44" x14ac:dyDescent="0.2">
      <c r="AM68" t="s">
        <v>86</v>
      </c>
      <c r="AN68" t="s">
        <v>150</v>
      </c>
      <c r="AO68">
        <v>2033</v>
      </c>
      <c r="AP68">
        <v>2047</v>
      </c>
      <c r="AQ68"/>
      <c r="AR68"/>
    </row>
    <row r="69" spans="39:44" x14ac:dyDescent="0.2">
      <c r="AM69" t="s">
        <v>94</v>
      </c>
      <c r="AN69" t="s">
        <v>150</v>
      </c>
      <c r="AO69">
        <v>2014</v>
      </c>
      <c r="AP69">
        <v>2024</v>
      </c>
      <c r="AQ69"/>
      <c r="AR69"/>
    </row>
    <row r="70" spans="39:44" x14ac:dyDescent="0.2">
      <c r="AM70" t="s">
        <v>92</v>
      </c>
      <c r="AN70" t="s">
        <v>150</v>
      </c>
      <c r="AO70">
        <v>2009</v>
      </c>
      <c r="AP70">
        <v>2020</v>
      </c>
      <c r="AQ70"/>
      <c r="AR70"/>
    </row>
    <row r="71" spans="39:44" x14ac:dyDescent="0.2">
      <c r="AM71" t="s">
        <v>91</v>
      </c>
      <c r="AN71" t="s">
        <v>150</v>
      </c>
      <c r="AO71">
        <v>2033</v>
      </c>
      <c r="AP71">
        <v>2046</v>
      </c>
      <c r="AQ71"/>
      <c r="AR71"/>
    </row>
    <row r="72" spans="39:44" x14ac:dyDescent="0.2">
      <c r="AM72" t="s">
        <v>89</v>
      </c>
      <c r="AN72" t="s">
        <v>150</v>
      </c>
      <c r="AO72">
        <v>2020</v>
      </c>
      <c r="AP72">
        <v>2033</v>
      </c>
      <c r="AQ72"/>
      <c r="AR72"/>
    </row>
    <row r="73" spans="39:44" x14ac:dyDescent="0.2">
      <c r="AM73" t="s">
        <v>98</v>
      </c>
      <c r="AN73" t="s">
        <v>150</v>
      </c>
      <c r="AO73">
        <v>2020</v>
      </c>
      <c r="AP73">
        <v>2035</v>
      </c>
      <c r="AQ73"/>
      <c r="AR73"/>
    </row>
    <row r="74" spans="39:44" x14ac:dyDescent="0.2">
      <c r="AM74" t="s">
        <v>100</v>
      </c>
      <c r="AN74" t="s">
        <v>150</v>
      </c>
      <c r="AO74">
        <v>2052</v>
      </c>
      <c r="AP74">
        <v>2070</v>
      </c>
      <c r="AQ74"/>
      <c r="AR74"/>
    </row>
    <row r="75" spans="39:44" x14ac:dyDescent="0.2">
      <c r="AM75" t="s">
        <v>101</v>
      </c>
      <c r="AN75" t="s">
        <v>150</v>
      </c>
      <c r="AO75">
        <v>2047</v>
      </c>
      <c r="AP75">
        <v>2063</v>
      </c>
      <c r="AQ75"/>
      <c r="AR75"/>
    </row>
    <row r="76" spans="39:44" x14ac:dyDescent="0.2">
      <c r="AM76" t="s">
        <v>102</v>
      </c>
      <c r="AN76" t="s">
        <v>151</v>
      </c>
      <c r="AO76">
        <v>2031</v>
      </c>
      <c r="AP76">
        <v>2044</v>
      </c>
      <c r="AQ76"/>
      <c r="AR76"/>
    </row>
    <row r="77" spans="39:44" x14ac:dyDescent="0.2">
      <c r="AM77" t="s">
        <v>108</v>
      </c>
      <c r="AN77" t="s">
        <v>151</v>
      </c>
      <c r="AO77">
        <v>2013</v>
      </c>
      <c r="AP77">
        <v>2023</v>
      </c>
      <c r="AQ77"/>
      <c r="AR77"/>
    </row>
    <row r="78" spans="39:44" x14ac:dyDescent="0.2">
      <c r="AM78" t="s">
        <v>107</v>
      </c>
      <c r="AN78" t="s">
        <v>151</v>
      </c>
      <c r="AO78">
        <v>2009</v>
      </c>
      <c r="AP78">
        <v>2020</v>
      </c>
      <c r="AQ78"/>
      <c r="AR78"/>
    </row>
    <row r="79" spans="39:44" x14ac:dyDescent="0.2">
      <c r="AM79" t="s">
        <v>106</v>
      </c>
      <c r="AN79" t="s">
        <v>151</v>
      </c>
      <c r="AO79">
        <v>2029</v>
      </c>
      <c r="AP79">
        <v>2041</v>
      </c>
      <c r="AQ79"/>
      <c r="AR79"/>
    </row>
    <row r="80" spans="39:44" x14ac:dyDescent="0.2">
      <c r="AM80" t="s">
        <v>105</v>
      </c>
      <c r="AN80" t="s">
        <v>151</v>
      </c>
      <c r="AO80">
        <v>2019</v>
      </c>
      <c r="AP80">
        <v>2030</v>
      </c>
      <c r="AQ80"/>
      <c r="AR80"/>
    </row>
    <row r="81" spans="39:44" x14ac:dyDescent="0.2">
      <c r="AM81" t="s">
        <v>109</v>
      </c>
      <c r="AN81" t="s">
        <v>151</v>
      </c>
      <c r="AO81">
        <v>2030</v>
      </c>
      <c r="AP81">
        <v>2042</v>
      </c>
      <c r="AQ81"/>
      <c r="AR81"/>
    </row>
    <row r="82" spans="39:44" x14ac:dyDescent="0.2">
      <c r="AM82" t="s">
        <v>110</v>
      </c>
      <c r="AN82" t="s">
        <v>151</v>
      </c>
      <c r="AO82">
        <v>2030</v>
      </c>
      <c r="AP82">
        <v>2042</v>
      </c>
      <c r="AQ82"/>
      <c r="AR82"/>
    </row>
    <row r="83" spans="39:44" x14ac:dyDescent="0.2">
      <c r="AM83" t="s">
        <v>111</v>
      </c>
      <c r="AN83" t="s">
        <v>151</v>
      </c>
      <c r="AO83">
        <v>2019</v>
      </c>
      <c r="AP83">
        <v>2035</v>
      </c>
      <c r="AQ83"/>
      <c r="AR83"/>
    </row>
    <row r="84" spans="39:44" x14ac:dyDescent="0.2">
      <c r="AM84" t="s">
        <v>112</v>
      </c>
      <c r="AN84" t="s">
        <v>151</v>
      </c>
      <c r="AO84">
        <v>2043</v>
      </c>
      <c r="AP84">
        <v>2057</v>
      </c>
      <c r="AQ84"/>
      <c r="AR84"/>
    </row>
    <row r="85" spans="39:44" x14ac:dyDescent="0.2">
      <c r="AM85" t="s">
        <v>113</v>
      </c>
      <c r="AN85" t="s">
        <v>151</v>
      </c>
      <c r="AO85">
        <v>2040</v>
      </c>
      <c r="AP85">
        <v>2055</v>
      </c>
      <c r="AQ85"/>
      <c r="AR85"/>
    </row>
  </sheetData>
  <sortState xmlns:xlrd2="http://schemas.microsoft.com/office/spreadsheetml/2017/richdata2" ref="A4:I20">
    <sortCondition ref="A4:A20"/>
  </sortState>
  <mergeCells count="13">
    <mergeCell ref="AO46:AR46"/>
    <mergeCell ref="AO2:AR2"/>
    <mergeCell ref="AS2:AV2"/>
    <mergeCell ref="AW2:AZ2"/>
    <mergeCell ref="BA2:BD2"/>
    <mergeCell ref="T2:W2"/>
    <mergeCell ref="X2:AA2"/>
    <mergeCell ref="AF2:AI2"/>
    <mergeCell ref="T33:W33"/>
    <mergeCell ref="A2:B2"/>
    <mergeCell ref="C2:F2"/>
    <mergeCell ref="G2:J2"/>
    <mergeCell ref="K2:N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Diagramme</vt:lpstr>
      </vt:variant>
      <vt:variant>
        <vt:i4>4</vt:i4>
      </vt:variant>
    </vt:vector>
  </HeadingPairs>
  <TitlesOfParts>
    <vt:vector size="8" baseType="lpstr">
      <vt:lpstr>CMIP6_sel</vt:lpstr>
      <vt:lpstr>CMIP5_sel</vt:lpstr>
      <vt:lpstr>CMIP6_sel_timing</vt:lpstr>
      <vt:lpstr>clean_data_table</vt:lpstr>
      <vt:lpstr>gwl_date</vt:lpstr>
      <vt:lpstr>gwl_rcps</vt:lpstr>
      <vt:lpstr>gwl_ssps</vt:lpstr>
      <vt:lpstr>gwl_ccs_AUT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Becsi</dc:creator>
  <cp:lastModifiedBy>Benedikt Becsi</cp:lastModifiedBy>
  <dcterms:created xsi:type="dcterms:W3CDTF">2023-05-11T13:45:49Z</dcterms:created>
  <dcterms:modified xsi:type="dcterms:W3CDTF">2023-10-19T10:08:51Z</dcterms:modified>
</cp:coreProperties>
</file>