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404C8E6A-38AE-7148-B9DA-49461FFA9B4D}" xr6:coauthVersionLast="47" xr6:coauthVersionMax="47" xr10:uidLastSave="{00000000-0000-0000-0000-000000000000}"/>
  <bookViews>
    <workbookView xWindow="0" yWindow="500" windowWidth="38400" windowHeight="22120" xr2:uid="{3205E47B-5EE3-6F45-A00E-09C2AA1423A5}"/>
  </bookViews>
  <sheets>
    <sheet name="Tabelle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2" l="1"/>
  <c r="T5" i="2"/>
  <c r="U5" i="2"/>
  <c r="S4" i="2"/>
  <c r="T4" i="2"/>
  <c r="U4" i="2"/>
  <c r="R4" i="2"/>
  <c r="R5" i="2"/>
  <c r="O5" i="2"/>
  <c r="P5" i="2"/>
  <c r="Q5" i="2"/>
  <c r="O4" i="2"/>
  <c r="P4" i="2"/>
  <c r="Q4" i="2"/>
  <c r="N5" i="2"/>
  <c r="N4" i="2"/>
  <c r="R3" i="2"/>
  <c r="U3" i="2"/>
  <c r="T3" i="2"/>
  <c r="S3" i="2"/>
  <c r="O3" i="2"/>
  <c r="N3" i="2"/>
  <c r="P3" i="2"/>
  <c r="Q3" i="2"/>
</calcChain>
</file>

<file path=xl/sharedStrings.xml><?xml version="1.0" encoding="utf-8"?>
<sst xmlns="http://schemas.openxmlformats.org/spreadsheetml/2006/main" count="714" uniqueCount="283">
  <si>
    <t>Model</t>
  </si>
  <si>
    <t>Mean year per GWL</t>
  </si>
  <si>
    <t>Period per GWL</t>
  </si>
  <si>
    <t>GCM (CMIP6)</t>
  </si>
  <si>
    <t>1.5°C</t>
  </si>
  <si>
    <t>2.0°C</t>
  </si>
  <si>
    <t>3.0°C</t>
  </si>
  <si>
    <t>4.0°C</t>
  </si>
  <si>
    <t>CAMS-CSM1-0_ssp119_r2i1p1f1_gn_201501-209912</t>
  </si>
  <si>
    <t>CNRM-ESM2-1_ssp119_r1i1p1f2_gr_201501-210012</t>
  </si>
  <si>
    <t>2058-2077</t>
  </si>
  <si>
    <t>CanESM5_ssp119_r1i1p1f1_gn_201501-210012</t>
  </si>
  <si>
    <t>2003-2022</t>
  </si>
  <si>
    <t>2015-2034</t>
  </si>
  <si>
    <t>EC-Earth3-Veg-LR_ssp119_r1i1p1f1_gr_201501-210012</t>
  </si>
  <si>
    <t>2020-2039</t>
  </si>
  <si>
    <t>EC-Earth3-Veg_ssp119_r1i1p1f1_gr_201501-210012</t>
  </si>
  <si>
    <t>2002-2021</t>
  </si>
  <si>
    <t>FGOALS-g3_ssp119_r1i1p1f1_gn_201501-210012</t>
  </si>
  <si>
    <t>GFDL-ESM4_ssp119_r1i1p1f1_gr1_201501-210012</t>
  </si>
  <si>
    <t>IPSL-CM6A-LR_ssp119_r1i1p1f1_gr_201501-210012</t>
  </si>
  <si>
    <t>2009-2028</t>
  </si>
  <si>
    <t>2028-2047</t>
  </si>
  <si>
    <t>MIROC-ES2L_ssp119_r1i1p1f2_gn_201501-210012</t>
  </si>
  <si>
    <t>MIROC6_ssp119_r1i1p1f1_gn_201501-210012</t>
  </si>
  <si>
    <t>MPI-ESM1-2-LR_ssp119_r1i1p1f1_gn_201501-210012</t>
  </si>
  <si>
    <t>MRI-ESM2-0_ssp119_r1i1p1f1_gn_201501-210012</t>
  </si>
  <si>
    <t>2021-2040</t>
  </si>
  <si>
    <t>UKESM1-0-LL_ssp119_r1i1p1f2_gn_201501-210012</t>
  </si>
  <si>
    <t>2030-2049</t>
  </si>
  <si>
    <t>ACCESS-CM2_ssp126_r1i1p1f1_gn_201501-210012</t>
  </si>
  <si>
    <t>2018-2037</t>
  </si>
  <si>
    <t>2033-2052</t>
  </si>
  <si>
    <t>ACCESS-ESM1-5_ssp126_r1i1p1f1_gn_201501-210012</t>
  </si>
  <si>
    <t>2064-2083</t>
  </si>
  <si>
    <t>AWI-CM-1-1-MR_ssp126_r1i1p1f1_gn_201501-210012</t>
  </si>
  <si>
    <t>2013-2032</t>
  </si>
  <si>
    <t>2041-2060</t>
  </si>
  <si>
    <t>BCC-CSM2-MR_ssp126_r1i1p1f1_gn_201501-210012</t>
  </si>
  <si>
    <t>2032-2051</t>
  </si>
  <si>
    <t>CAMS-CSM1-0_ssp126_r2i1p1f1_gn_201501-209912</t>
  </si>
  <si>
    <t>CAS-ESM2-0_ssp126_r1i1p1f1_gn_201501-210012</t>
  </si>
  <si>
    <t>2050-2069</t>
  </si>
  <si>
    <t>CESM2-WACCM_ssp126_r1i1p1f1_gn_201501-210012</t>
  </si>
  <si>
    <t>2012-2031</t>
  </si>
  <si>
    <t>2029-2048</t>
  </si>
  <si>
    <t>CESM2_ssp126_r4i1p1f1_gn_201501-210012</t>
  </si>
  <si>
    <t>2017-2036</t>
  </si>
  <si>
    <t>CMCC-CM2-SR5_ssp126_r1i1p1f1_gn_201501-210012</t>
  </si>
  <si>
    <t>2014-2033</t>
  </si>
  <si>
    <t>CMCC-ESM2_ssp126_r1i1p1f1_gn_201501-210012</t>
  </si>
  <si>
    <t>2022-2041</t>
  </si>
  <si>
    <t>CNRM-CM6-1-HR_ssp126_r1i1p1f2_gr_201501-210012</t>
  </si>
  <si>
    <t>2008-2027</t>
  </si>
  <si>
    <t>CNRM-CM6-1_ssp126_r1i1p1f2_gr_201501-210012</t>
  </si>
  <si>
    <t>CNRM-ESM2-1_ssp126_r1i1p1f2_gr_201501-210012</t>
  </si>
  <si>
    <t>2038-2057</t>
  </si>
  <si>
    <t>CanESM5-CanOE_ssp126_r1i1p2f1_gn_201501-210012</t>
  </si>
  <si>
    <t>2000-2019</t>
  </si>
  <si>
    <t>2011-2030</t>
  </si>
  <si>
    <t>CanESM5_ssp126_r1i1p1f1_gn_201501-210012</t>
  </si>
  <si>
    <t>2004-2023</t>
  </si>
  <si>
    <t>EC-Earth3-Veg-LR_ssp126_r1i1p1f1_gr_201501-210012</t>
  </si>
  <si>
    <t>EC-Earth3-Veg_ssp126_r1i1p1f1_gr_201501-210012</t>
  </si>
  <si>
    <t>EC-Earth3_ssp126_r1i1p1f1_gr_201501-210012</t>
  </si>
  <si>
    <t>2034-2053</t>
  </si>
  <si>
    <t>FGOALS-f3-L_ssp126_r1i1p1f1_gr_201501-210012</t>
  </si>
  <si>
    <t>2047-2066</t>
  </si>
  <si>
    <t>FGOALS-g3_ssp126_r1i1p1f1_gn_201501-210012</t>
  </si>
  <si>
    <t>FIO-ESM-2-0_ssp126_r1i1p1f1_gn_201501-210012</t>
  </si>
  <si>
    <t>2007-2026</t>
  </si>
  <si>
    <t>2025-2044</t>
  </si>
  <si>
    <t>GFDL-ESM4_ssp126_r1i1p1f1_gr1_201501-210012</t>
  </si>
  <si>
    <t>GISS-E2-1-G_ssp126_r1i1p1f2_gn_201501-210012</t>
  </si>
  <si>
    <t>GISS-E2-1-H_ssp126_r1i1p1f2_gn_201501-210012</t>
  </si>
  <si>
    <t>2016-2035</t>
  </si>
  <si>
    <t>HadGEM3-GC31-LL_ssp126_r1i1p1f3_gn_201501-210012</t>
  </si>
  <si>
    <t>HadGEM3-GC31-MM_ssp126_r1i1p1f3_gn_201501-210012</t>
  </si>
  <si>
    <t>2019-2038</t>
  </si>
  <si>
    <t>2031-2050</t>
  </si>
  <si>
    <t>IITM-ESM_ssp126_r1i1p1f1_gn_201501-209912</t>
  </si>
  <si>
    <t>2036-2055</t>
  </si>
  <si>
    <t>INM-CM4-8_ssp126_r1i1p1f1_gr1_201501-210012</t>
  </si>
  <si>
    <t>INM-CM5-0_ssp126_r1i1p1f1_gr1_201501-210012</t>
  </si>
  <si>
    <t>2027-2046</t>
  </si>
  <si>
    <t>IPSL-CM5A2-INCA_ssp126_r1i1p1f1_gr_201501-210012</t>
  </si>
  <si>
    <t>2069-2088</t>
  </si>
  <si>
    <t>IPSL-CM6A-LR_ssp126_r1i1p1f1_gr_201501-210012</t>
  </si>
  <si>
    <t>2010-2029</t>
  </si>
  <si>
    <t>KACE-1-0-G_ssp126_r1i1p1f1_gr_201501-210012</t>
  </si>
  <si>
    <t>2005-2024</t>
  </si>
  <si>
    <t>KIOST-ESM_ssp126_r1i1p1f1_gr1_201501-210012</t>
  </si>
  <si>
    <t>MCM-UA-1-0_ssp126_r1i1p1f2_gn_201501-210012</t>
  </si>
  <si>
    <t>2053-2072</t>
  </si>
  <si>
    <t>MIROC-ES2L_ssp126_r1i1p1f2_gn_201501-210012</t>
  </si>
  <si>
    <t>MIROC6_ssp126_r1i1p1f1_gn_201501-210012</t>
  </si>
  <si>
    <t>2054-2073</t>
  </si>
  <si>
    <t>MPI-ESM1-2-HR_ssp126_r1i1p1f1_gn_201501-210012</t>
  </si>
  <si>
    <t>MPI-ESM1-2-LR_ssp126_r1i1p1f1_gn_201501-210012</t>
  </si>
  <si>
    <t>MRI-ESM2-0_ssp126_r1i1p1f1_gn_201501-210012</t>
  </si>
  <si>
    <t>NESM3_ssp126_r1i1p1f1_gn_201501-210012</t>
  </si>
  <si>
    <t>2040-2059</t>
  </si>
  <si>
    <t>NorESM2-LM_ssp126_r1i1p1f1_gn_201501-210012</t>
  </si>
  <si>
    <t>NorESM2-MM_ssp126_r1i1p1f1_gn_201501-210012</t>
  </si>
  <si>
    <t>TaiESM1_ssp126_r1i1p1f1_gn_201501-210012</t>
  </si>
  <si>
    <t>UKESM1-0-LL_ssp126_r1i1p1f2_gn_201501-210012</t>
  </si>
  <si>
    <t>ACCESS-CM2_ssp245_r1i1p1f1_gn_201501-210012</t>
  </si>
  <si>
    <t>2062-2081</t>
  </si>
  <si>
    <t>ACCESS-ESM1-5_ssp245_r1i1p1f1_gn_201501-210012</t>
  </si>
  <si>
    <t>AWI-CM-1-1-MR_ssp245_r1i1p1f1_gn_201501-210012</t>
  </si>
  <si>
    <t>BCC-CSM2-MR_ssp245_r1i1p1f1_gn_201501-210012</t>
  </si>
  <si>
    <t>2026-2045</t>
  </si>
  <si>
    <t>2048-2067</t>
  </si>
  <si>
    <t>CAMS-CSM1-0_ssp245_r2i1p1f1_gn_201501-209912</t>
  </si>
  <si>
    <t>2046-2065</t>
  </si>
  <si>
    <t>2080-2099</t>
  </si>
  <si>
    <t>CAS-ESM2-0_ssp245_r1i1p1f1_gn_201501-210012</t>
  </si>
  <si>
    <t>2043-2062</t>
  </si>
  <si>
    <t>2073-2092</t>
  </si>
  <si>
    <t>CESM2-WACCM_ssp245_r1i1p1f1_gn_201501-210012</t>
  </si>
  <si>
    <t>2066-2085</t>
  </si>
  <si>
    <t>CESM2_ssp245_r4i1p1f1_gn_201501-210012</t>
  </si>
  <si>
    <t>CMCC-CM2-SR5_ssp245_r1i1p1f1_gn_201501-210012</t>
  </si>
  <si>
    <t>2057-2076</t>
  </si>
  <si>
    <t>CMCC-ESM2_ssp245_r1i1p1f1_gn_201501-210012</t>
  </si>
  <si>
    <t>2056-2075</t>
  </si>
  <si>
    <t>CNRM-CM6-1-HR_ssp245_r1i1p1f2_gr_201501-210012</t>
  </si>
  <si>
    <t>2024-2043</t>
  </si>
  <si>
    <t>CNRM-CM6-1_ssp245_r1i1p1f2_gr_201501-210012</t>
  </si>
  <si>
    <t>2039-2058</t>
  </si>
  <si>
    <t>2075-2094</t>
  </si>
  <si>
    <t>CNRM-ESM2-1_ssp245_r1i1p1f2_gr_201501-210012</t>
  </si>
  <si>
    <t>2079-2098</t>
  </si>
  <si>
    <t>CanESM5-CanOE_ssp245_r1i1p2f1_gn_201501-210012</t>
  </si>
  <si>
    <t>2035-2054</t>
  </si>
  <si>
    <t>2071-2090</t>
  </si>
  <si>
    <t>CanESM5_ssp245_r1i1p1f1_gn_201501-210012</t>
  </si>
  <si>
    <t>2074-2093</t>
  </si>
  <si>
    <t>EC-Earth3-CC_ssp245_r1i1p1f1_gr_201501-210012</t>
  </si>
  <si>
    <t>1998-2017</t>
  </si>
  <si>
    <t>EC-Earth3-Veg-LR_ssp245_r1i1p1f1_gr_201501-210012</t>
  </si>
  <si>
    <t>2081-2100</t>
  </si>
  <si>
    <t>EC-Earth3-Veg_ssp245_r1i1p1f1_gr_201501-210012</t>
  </si>
  <si>
    <t>2001-2020</t>
  </si>
  <si>
    <t>EC-Earth3_ssp245_r1i1p1f1_gr_201501-210012</t>
  </si>
  <si>
    <t>2076-2095</t>
  </si>
  <si>
    <t>FGOALS-f3-L_ssp245_r1i1p1f1_gr_201501-210012</t>
  </si>
  <si>
    <t>FGOALS-g3_ssp245_r1i1p1f1_gn_201501-210012</t>
  </si>
  <si>
    <t>FIO-ESM-2-0_ssp245_r1i1p1f1_gn_201501-210012</t>
  </si>
  <si>
    <t>2023-2042</t>
  </si>
  <si>
    <t>GFDL-CM4_ssp245_r1i1p1f1_gr1_201501-210012</t>
  </si>
  <si>
    <t>GFDL-CM4_ssp245_r1i1p1f1_gr2_201501-210012</t>
  </si>
  <si>
    <t>GFDL-ESM4_ssp245_r1i1p1f1_gr1_201501-210012</t>
  </si>
  <si>
    <t>2037-2056</t>
  </si>
  <si>
    <t>GISS-E2-1-G_ssp245_r1i1p1f2_gn_201501-210012</t>
  </si>
  <si>
    <t>2045-2064</t>
  </si>
  <si>
    <t>GISS-E2-1-H_ssp245_r1i1p1f2_gn_201501-210012</t>
  </si>
  <si>
    <t>HadGEM3-GC31-LL_ssp245_r1i1p1f3_gn_201501-210012</t>
  </si>
  <si>
    <t>2052-2071</t>
  </si>
  <si>
    <t>IITM-ESM_ssp245_r1i1p1f1_gn_201501-209912</t>
  </si>
  <si>
    <t>INM-CM4-8_ssp245_r1i1p1f1_gr1_201501-210012</t>
  </si>
  <si>
    <t>INM-CM5-0_ssp245_r1i1p1f1_gr1_201501-210012</t>
  </si>
  <si>
    <t>2063-2082</t>
  </si>
  <si>
    <t>IPSL-CM6A-LR_ssp245_r1i1p1f1_gr_201501-210012</t>
  </si>
  <si>
    <t>KACE-1-0-G_ssp245_r1i1p1f1_gr_201501-210012</t>
  </si>
  <si>
    <t>KIOST-ESM_ssp245_r1i1p1f1_gr1_201501-210012</t>
  </si>
  <si>
    <t>MCM-UA-1-0_ssp245_r1i1p1f2_gn_201501-210012</t>
  </si>
  <si>
    <t>MIROC-ES2L_ssp245_r1i1p1f2_gn_201501-210012</t>
  </si>
  <si>
    <t>MIROC6_ssp245_r1i1p1f1_gn_201501-210012</t>
  </si>
  <si>
    <t>MPI-ESM1-2-HR_ssp245_r1i1p1f1_gn_201501-210012</t>
  </si>
  <si>
    <t>MPI-ESM1-2-LR_ssp245_r1i1p1f1_gn_201501-210012</t>
  </si>
  <si>
    <t>MRI-ESM2-0_ssp245_r1i1p1f1_gn_201501-210012</t>
  </si>
  <si>
    <t>NESM3_ssp245_r1i1p1f1_gn_201501-210012</t>
  </si>
  <si>
    <t>NorESM2-LM_ssp245_r1i1p1f1_gn_201501-210012</t>
  </si>
  <si>
    <t>NorESM2-MM_ssp245_r1i1p1f1_gn_201501-210012</t>
  </si>
  <si>
    <t>TaiESM1_ssp245_r1i1p1f1_gn_201501-210012</t>
  </si>
  <si>
    <t>2059-2078</t>
  </si>
  <si>
    <t>UKESM1-0-LL_ssp245_r1i1p1f2_gn_201501-210012</t>
  </si>
  <si>
    <t>ACCESS-CM2_ssp370_r1i1p1f1_gn_201501-210012</t>
  </si>
  <si>
    <t>ACCESS-ESM1-5_ssp370_r1i1p1f1_gn_201501-210012</t>
  </si>
  <si>
    <t>2060-2079</t>
  </si>
  <si>
    <t>AWI-CM-1-1-MR_ssp370_r1i1p1f1_gn_201501-210012</t>
  </si>
  <si>
    <t>2055-2074</t>
  </si>
  <si>
    <t>BCC-CSM2-MR_ssp370_r1i1p1f1_gn_201501-210012</t>
  </si>
  <si>
    <t>2065-2084</t>
  </si>
  <si>
    <t>BCC-ESM1_ssp370_r1i1p1f1_gn_201501-205512</t>
  </si>
  <si>
    <t>CAMS-CSM1-0_ssp370_r2i1p1f1_gn_201501-209912</t>
  </si>
  <si>
    <t>CAS-ESM2-0_ssp370_r1i1p1f1_gn_201501-210012</t>
  </si>
  <si>
    <t>CESM2-WACCM_ssp370_r1i1p1f1_gn_201501-210012</t>
  </si>
  <si>
    <t>CESM2_ssp370_r4i1p1f1_gn_201501-210012</t>
  </si>
  <si>
    <t>2078-2097</t>
  </si>
  <si>
    <t>CMCC-CM2-SR5_ssp370_r1i1p1f1_gn_201501-210012</t>
  </si>
  <si>
    <t>CMCC-ESM2_ssp370_r1i1p1f1_gn_201501-210012</t>
  </si>
  <si>
    <t>CNRM-CM6-1-HR_ssp370_r1i1p1f2_gr_201501-210012</t>
  </si>
  <si>
    <t>2067-2086</t>
  </si>
  <si>
    <t>CNRM-CM6-1_ssp370_r1i1p1f2_gr_201501-210012</t>
  </si>
  <si>
    <t>CNRM-ESM2-1_ssp370_r1i1p1f2_gr_201501-210012</t>
  </si>
  <si>
    <t>CanESM5-CanOE_ssp370_r1i1p2f1_gn_201501-210012</t>
  </si>
  <si>
    <t>1999-2018</t>
  </si>
  <si>
    <t>CanESM5_ssp370_r1i1p1f1_gn_201501-210012</t>
  </si>
  <si>
    <t>EC-Earth3-AerChem_ssp370_r1i1p1f1_gr_201501-210012</t>
  </si>
  <si>
    <t>EC-Earth3-Veg-LR_ssp370_r1i1p1f1_gr_201501-210012</t>
  </si>
  <si>
    <t>EC-Earth3-Veg_ssp370_r1i1p1f1_gr_201501-210012</t>
  </si>
  <si>
    <t>EC-Earth3_ssp370_r1i1p1f1_gr_201501-210012</t>
  </si>
  <si>
    <t>FGOALS-f3-L_ssp370_r1i1p1f1_gr_201501-210012</t>
  </si>
  <si>
    <t>FGOALS-g3_ssp370_r1i1p1f1_gn_201501-210012</t>
  </si>
  <si>
    <t>GFDL-ESM4_ssp370_r1i1p1f1_gr1_201501-210012</t>
  </si>
  <si>
    <t>GISS-E2-1-G_ssp370_r1i1p1f2_gn_201501-210012</t>
  </si>
  <si>
    <t>GISS-E2-1-H_ssp370_r1i1p1f2_gn_201501-210012</t>
  </si>
  <si>
    <t>IITM-ESM_ssp370_r1i1p1f1_gn_201501-209812</t>
  </si>
  <si>
    <t>2042-2061</t>
  </si>
  <si>
    <t>INM-CM4-8_ssp370_r1i1p1f1_gr1_201501-210012</t>
  </si>
  <si>
    <t>INM-CM5-0_ssp370_r1i1p1f1_gr1_201501-210012</t>
  </si>
  <si>
    <t>IPSL-CM5A2-INCA_ssp370_r1i1p1f1_gr_201501-210012</t>
  </si>
  <si>
    <t>2049-2068</t>
  </si>
  <si>
    <t>2070-2089</t>
  </si>
  <si>
    <t>IPSL-CM6A-LR_ssp370_r1i1p1f1_gr_201501-210012</t>
  </si>
  <si>
    <t>KACE-1-0-G_ssp370_r1i1p1f1_gr_201501-210012</t>
  </si>
  <si>
    <t>MCM-UA-1-0_ssp370_r1i1p1f2_gn_201501-210012</t>
  </si>
  <si>
    <t>2061-2080</t>
  </si>
  <si>
    <t>MIROC-ES2L_ssp370_r1i1p1f2_gn_201501-210012</t>
  </si>
  <si>
    <t>MIROC6_ssp370_r1i1p1f1_gn_201501-210012</t>
  </si>
  <si>
    <t>MPI-ESM-1-2-HAM_ssp370_r1i1p1f1_gn_201501-205512</t>
  </si>
  <si>
    <t>MPI-ESM1-2-HR_ssp370_r1i1p1f1_gn_201501-210012</t>
  </si>
  <si>
    <t>2072-2091</t>
  </si>
  <si>
    <t>MPI-ESM1-2-LR_ssp370_r1i1p1f1_gn_201501-210012</t>
  </si>
  <si>
    <t>MRI-ESM2-0_ssp370_r1i1p1f1_gn_201501-210012</t>
  </si>
  <si>
    <t>NorESM2-LM_ssp370_r1i1p1f1_gn_201501-210012</t>
  </si>
  <si>
    <t>NorESM2-MM_ssp370_r1i1p1f1_gn_201501-210012</t>
  </si>
  <si>
    <t>TaiESM1_ssp370_r1i1p1f1_gn_201501-210012</t>
  </si>
  <si>
    <t>UKESM1-0-LL_ssp370_r1i1p1f2_gn_201501-210012</t>
  </si>
  <si>
    <t>ACCESS-CM2_ssp585_r1i1p1f1_gn_201501-210012</t>
  </si>
  <si>
    <t>ACCESS-ESM1-5_ssp585_r1i1p1f1_gn_201501-210012</t>
  </si>
  <si>
    <t>2051-2070</t>
  </si>
  <si>
    <t>AWI-CM-1-1-MR_ssp585_r1i1p1f1_gn_201501-210012</t>
  </si>
  <si>
    <t>BCC-CSM2-MR_ssp585_r1i1p1f1_gn_201501-210012</t>
  </si>
  <si>
    <t>CAMS-CSM1-0_ssp585_r2i1p1f1_gn_201501-209912</t>
  </si>
  <si>
    <t>CAS-ESM2-0_ssp585_r1i1p1f1_gn_201501-210012</t>
  </si>
  <si>
    <t>2068-2087</t>
  </si>
  <si>
    <t>CESM2-WACCM_ssp585_r1i1p1f1_gn_201501-210012</t>
  </si>
  <si>
    <t>2044-2063</t>
  </si>
  <si>
    <t>CESM2_ssp585_r4i1p1f1_gn_201501-210012</t>
  </si>
  <si>
    <t>CMCC-CM2-SR5_ssp585_r1i1p1f1_gn_201501-210012</t>
  </si>
  <si>
    <t>CMCC-ESM2_ssp585_r1i1p1f1_gn_201501-210012</t>
  </si>
  <si>
    <t>CNRM-CM6-1-HR_ssp585_r1i1p1f2_gr_201501-210012</t>
  </si>
  <si>
    <t>CNRM-CM6-1_ssp585_r1i1p1f2_gr_201501-210012</t>
  </si>
  <si>
    <t>CNRM-ESM2-1_ssp585_r1i1p1f2_gr_201501-210012</t>
  </si>
  <si>
    <t>CanESM5-CanOE_ssp585_r1i1p2f1_gn_201501-210012</t>
  </si>
  <si>
    <t>CanESM5_ssp585_r1i1p1f1_gn_201501-210012</t>
  </si>
  <si>
    <t>EC-Earth3-CC_ssp585_r1i1p1f1_gr_201501-210012</t>
  </si>
  <si>
    <t>EC-Earth3-Veg-LR_ssp585_r1i1p1f1_gr_201501-210012</t>
  </si>
  <si>
    <t>EC-Earth3-Veg_ssp585_r1i1p1f1_gr_201501-210012</t>
  </si>
  <si>
    <t>EC-Earth3_ssp585_r1i1p1f1_gr_201501-210012</t>
  </si>
  <si>
    <t>FGOALS-f3-L_ssp585_r1i1p1f1_gr_201501-210012</t>
  </si>
  <si>
    <t>FGOALS-g3_ssp585_r1i1p1f1_gn_201501-210012</t>
  </si>
  <si>
    <t>FIO-ESM-2-0_ssp585_r1i1p1f1_gn_201501-210012</t>
  </si>
  <si>
    <t>GFDL-CM4_ssp585_r1i1p1f1_gr1_201501-210012</t>
  </si>
  <si>
    <t>GFDL-CM4_ssp585_r1i1p1f1_gr2_201501-210012</t>
  </si>
  <si>
    <t>GFDL-ESM4_ssp585_r1i1p1f1_gr1_201501-210012</t>
  </si>
  <si>
    <t>GISS-E2-1-G_ssp585_r1i1p1f2_gn_201501-210012</t>
  </si>
  <si>
    <t>HadGEM3-GC31-LL_ssp585_r1i1p1f3_gn_201501-210012</t>
  </si>
  <si>
    <t>HadGEM3-GC31-MM_ssp585_r1i1p1f3_gn_201501-210012</t>
  </si>
  <si>
    <t>IITM-ESM_ssp585_r1i1p1f1_gn_201501-209912</t>
  </si>
  <si>
    <t>INM-CM4-8_ssp585_r1i1p1f1_gr1_201501-210012</t>
  </si>
  <si>
    <t>INM-CM5-0_ssp585_r1i1p1f1_gr1_201501-210012</t>
  </si>
  <si>
    <t>IPSL-CM6A-LR_ssp585_r1i1p1f1_gr_201501-210012</t>
  </si>
  <si>
    <t>KACE-1-0-G_ssp585_r1i1p1f1_gr_201501-210012</t>
  </si>
  <si>
    <t>KIOST-ESM_ssp585_r1i1p1f1_gr1_201501-210012</t>
  </si>
  <si>
    <t>MCM-UA-1-0_ssp585_r1i1p1f2_gn_201501-210012</t>
  </si>
  <si>
    <t>MIROC-ES2L_ssp585_r1i1p1f2_gn_201501-210012</t>
  </si>
  <si>
    <t>MIROC6_ssp585_r1i1p1f1_gn_201501-210012</t>
  </si>
  <si>
    <t>MPI-ESM1-2-HR_ssp585_r1i1p1f1_gn_201501-210012</t>
  </si>
  <si>
    <t>MPI-ESM1-2-LR_ssp585_r1i1p1f1_gn_201501-210012</t>
  </si>
  <si>
    <t>MRI-ESM2-0_ssp585_r1i1p1f1_gn_201501-210012</t>
  </si>
  <si>
    <t>NESM3_ssp585_r1i1p1f1_gn_201501-210012</t>
  </si>
  <si>
    <t>NorESM2-LM_ssp585_r1i1p1f1_gn_201501-210012</t>
  </si>
  <si>
    <t>NorESM2-MM_ssp585_r1i1p1f1_gn_201501-210012</t>
  </si>
  <si>
    <t>TaiESM1_ssp585_r1i1p1f1_gn_201501-210012</t>
  </si>
  <si>
    <t>UKESM1-0-LL_ssp585_r1i1p1f2_gn_201501-210012</t>
  </si>
  <si>
    <t>AUT GCM CCS 1991-2020</t>
  </si>
  <si>
    <t>Median</t>
  </si>
  <si>
    <t>CCS AUT ÖKS15</t>
  </si>
  <si>
    <t>scaling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</si>
</sst>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1" x14ac:knownFonts="1"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164" fontId="0" fillId="0" borderId="0" xfId="0" applyNumberFormat="1"/>
    <xf numFmtId="165" fontId="0" fillId="0" borderId="0" xfId="0" applyNumberFormat="1"/>
    <xf numFmtId="0" fontId="0" fillId="3" borderId="0" xfId="0" applyFill="1"/>
    <xf numFmtId="0" fontId="0" fillId="2" borderId="1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9DC50-1FA6-9742-A3C1-03E3125ABA8C}">
  <dimension ref="A1:U191"/>
  <sheetViews>
    <sheetView tabSelected="1" workbookViewId="0">
      <selection activeCell="N4" sqref="N4:U5"/>
    </sheetView>
  </sheetViews>
  <sheetFormatPr baseColWidth="10" defaultRowHeight="16" x14ac:dyDescent="0.2"/>
  <cols>
    <col min="1" max="1" width="50.6640625" bestFit="1" customWidth="1"/>
    <col min="2" max="5" width="5.5" bestFit="1" customWidth="1"/>
    <col min="6" max="9" width="9.83203125" bestFit="1" customWidth="1"/>
    <col min="10" max="10" width="6.33203125" bestFit="1" customWidth="1"/>
    <col min="11" max="13" width="5.6640625" bestFit="1" customWidth="1"/>
    <col min="21" max="21" width="12.6640625" bestFit="1" customWidth="1"/>
  </cols>
  <sheetData>
    <row r="1" spans="1:21" x14ac:dyDescent="0.2">
      <c r="A1" s="1" t="s">
        <v>0</v>
      </c>
      <c r="B1" s="5" t="s">
        <v>1</v>
      </c>
      <c r="C1" s="5"/>
      <c r="D1" s="5"/>
      <c r="E1" s="5"/>
      <c r="F1" s="5" t="s">
        <v>2</v>
      </c>
      <c r="G1" s="5"/>
      <c r="H1" s="5"/>
      <c r="I1" s="5"/>
      <c r="J1" s="5" t="s">
        <v>279</v>
      </c>
      <c r="K1" s="5"/>
      <c r="L1" s="5"/>
      <c r="M1" s="5"/>
      <c r="N1" s="5" t="s">
        <v>280</v>
      </c>
      <c r="O1" s="5"/>
      <c r="P1" s="5"/>
      <c r="Q1" s="5"/>
      <c r="R1" s="5" t="s">
        <v>281</v>
      </c>
      <c r="S1" s="5"/>
      <c r="T1" s="5"/>
      <c r="U1" s="5"/>
    </row>
    <row r="2" spans="1:2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4</v>
      </c>
      <c r="K2" s="1" t="s">
        <v>5</v>
      </c>
      <c r="L2" s="1" t="s">
        <v>6</v>
      </c>
      <c r="M2" s="1" t="s">
        <v>7</v>
      </c>
      <c r="N2" s="1" t="s">
        <v>4</v>
      </c>
      <c r="O2" s="1" t="s">
        <v>5</v>
      </c>
      <c r="P2" s="1" t="s">
        <v>6</v>
      </c>
      <c r="Q2" s="1" t="s">
        <v>7</v>
      </c>
      <c r="R2" s="1" t="s">
        <v>4</v>
      </c>
      <c r="S2" s="1" t="s">
        <v>5</v>
      </c>
      <c r="T2" s="1" t="s">
        <v>6</v>
      </c>
      <c r="U2" s="1" t="s">
        <v>7</v>
      </c>
    </row>
    <row r="3" spans="1:21" x14ac:dyDescent="0.2">
      <c r="A3" t="s">
        <v>8</v>
      </c>
      <c r="J3" s="2"/>
      <c r="K3" s="2"/>
      <c r="L3" s="2"/>
      <c r="M3" s="2"/>
      <c r="N3" s="2">
        <f>MEDIAN(J3:J191)</f>
        <v>0.96126850786044993</v>
      </c>
      <c r="O3" s="2">
        <f>MEDIAN(K3:K191)</f>
        <v>1.52994821396307</v>
      </c>
      <c r="P3" s="2">
        <f t="shared" ref="P3:Q3" si="0">MEDIAN(L3:L191)</f>
        <v>2.7216420221708799</v>
      </c>
      <c r="Q3" s="2">
        <f t="shared" si="0"/>
        <v>3.7988917949737599</v>
      </c>
      <c r="R3" s="2">
        <f>N3*$U$17</f>
        <v>0.85554435229192627</v>
      </c>
      <c r="S3" s="2">
        <f>O3*$U$17</f>
        <v>1.3616783895985558</v>
      </c>
      <c r="T3" s="2">
        <f>P3*$U$17</f>
        <v>2.4223049460044379</v>
      </c>
      <c r="U3" s="2">
        <f>Q3*$U$17</f>
        <v>3.381074479795366</v>
      </c>
    </row>
    <row r="4" spans="1:21" x14ac:dyDescent="0.2">
      <c r="A4" t="s">
        <v>9</v>
      </c>
      <c r="B4">
        <v>2068</v>
      </c>
      <c r="F4" t="s">
        <v>10</v>
      </c>
      <c r="J4" s="2">
        <v>0.953297643723377</v>
      </c>
      <c r="K4" s="2"/>
      <c r="L4" s="2"/>
      <c r="M4" s="2"/>
      <c r="N4" s="2">
        <f>_xlfn.PERCENTILE.INC(J3:J191, 0.1)</f>
        <v>0.32229408933509096</v>
      </c>
      <c r="O4" s="2">
        <f t="shared" ref="O4:Q4" si="1">_xlfn.PERCENTILE.INC(K3:K191, 0.1)</f>
        <v>0.9331958731947555</v>
      </c>
      <c r="P4" s="2">
        <f t="shared" si="1"/>
        <v>2.0692862007691661</v>
      </c>
      <c r="Q4" s="2">
        <f t="shared" si="1"/>
        <v>3.339906805131224</v>
      </c>
      <c r="R4" s="2">
        <f t="shared" ref="R4:R5" si="2">N4*$U$17</f>
        <v>0.28684689621366033</v>
      </c>
      <c r="S4" s="2">
        <f t="shared" ref="S4:S5" si="3">O4*$U$17</f>
        <v>0.83055925827730359</v>
      </c>
      <c r="T4" s="2">
        <f t="shared" ref="T4:T5" si="4">P4*$U$17</f>
        <v>1.8416978272637703</v>
      </c>
      <c r="U4" s="2">
        <f t="shared" ref="U4:U5" si="5">Q4*$U$17</f>
        <v>2.9725704950756717</v>
      </c>
    </row>
    <row r="5" spans="1:21" x14ac:dyDescent="0.2">
      <c r="A5" t="s">
        <v>11</v>
      </c>
      <c r="B5">
        <v>2013</v>
      </c>
      <c r="C5">
        <v>2025</v>
      </c>
      <c r="F5" t="s">
        <v>12</v>
      </c>
      <c r="G5" t="s">
        <v>13</v>
      </c>
      <c r="J5" s="2">
        <v>0.39268916094745798</v>
      </c>
      <c r="K5" s="2">
        <v>1.12528774120191</v>
      </c>
      <c r="L5" s="2"/>
      <c r="M5" s="2"/>
      <c r="N5" s="2">
        <f>_xlfn.PERCENTILE.INC(J3:J191, 0.9)</f>
        <v>1.4295632300740222</v>
      </c>
      <c r="O5" s="2">
        <f t="shared" ref="O5:Q5" si="6">_xlfn.PERCENTILE.INC(K3:K191, 0.9)</f>
        <v>2.128270183220097</v>
      </c>
      <c r="P5" s="2">
        <f t="shared" si="6"/>
        <v>3.3195415867181501</v>
      </c>
      <c r="Q5" s="2">
        <f t="shared" si="6"/>
        <v>4.4747244824800871</v>
      </c>
      <c r="R5" s="2">
        <f t="shared" si="2"/>
        <v>1.2723341477775609</v>
      </c>
      <c r="S5" s="2">
        <f t="shared" si="3"/>
        <v>1.894194515388818</v>
      </c>
      <c r="T5" s="2">
        <f t="shared" si="4"/>
        <v>2.9544451248445411</v>
      </c>
      <c r="U5" s="2">
        <f t="shared" si="5"/>
        <v>3.9825763849989975</v>
      </c>
    </row>
    <row r="6" spans="1:21" x14ac:dyDescent="0.2">
      <c r="A6" t="s">
        <v>14</v>
      </c>
      <c r="B6">
        <v>2030</v>
      </c>
      <c r="F6" t="s">
        <v>15</v>
      </c>
      <c r="J6" s="2">
        <v>0.962655414052216</v>
      </c>
      <c r="K6" s="2"/>
      <c r="L6" s="2"/>
      <c r="M6" s="2"/>
    </row>
    <row r="7" spans="1:21" x14ac:dyDescent="0.2">
      <c r="A7" t="s">
        <v>16</v>
      </c>
      <c r="B7">
        <v>2012</v>
      </c>
      <c r="C7">
        <v>2030</v>
      </c>
      <c r="F7" t="s">
        <v>17</v>
      </c>
      <c r="G7" t="s">
        <v>15</v>
      </c>
      <c r="J7" s="2">
        <v>0.218118923091532</v>
      </c>
      <c r="K7" s="2">
        <v>0.75275346345142902</v>
      </c>
      <c r="L7" s="2"/>
      <c r="M7" s="2"/>
    </row>
    <row r="8" spans="1:21" x14ac:dyDescent="0.2">
      <c r="A8" t="s">
        <v>18</v>
      </c>
      <c r="J8" s="2"/>
      <c r="K8" s="2"/>
      <c r="L8" s="2"/>
      <c r="M8" s="2"/>
    </row>
    <row r="9" spans="1:21" x14ac:dyDescent="0.2">
      <c r="A9" t="s">
        <v>19</v>
      </c>
      <c r="J9" s="2"/>
      <c r="K9" s="2"/>
      <c r="L9" s="2"/>
      <c r="M9" s="2"/>
    </row>
    <row r="10" spans="1:21" x14ac:dyDescent="0.2">
      <c r="A10" t="s">
        <v>20</v>
      </c>
      <c r="B10">
        <v>2019</v>
      </c>
      <c r="C10">
        <v>2038</v>
      </c>
      <c r="F10" t="s">
        <v>21</v>
      </c>
      <c r="G10" t="s">
        <v>22</v>
      </c>
      <c r="J10" s="2">
        <v>0.5449524</v>
      </c>
      <c r="K10" s="2">
        <v>1.2996490999999999</v>
      </c>
      <c r="L10" s="2"/>
      <c r="M10" s="2"/>
    </row>
    <row r="11" spans="1:21" x14ac:dyDescent="0.2">
      <c r="A11" t="s">
        <v>23</v>
      </c>
      <c r="J11" s="2"/>
      <c r="K11" s="2"/>
      <c r="L11" s="2"/>
      <c r="M11" s="2"/>
    </row>
    <row r="12" spans="1:21" x14ac:dyDescent="0.2">
      <c r="A12" t="s">
        <v>24</v>
      </c>
      <c r="J12" s="2"/>
      <c r="K12" s="2"/>
      <c r="L12" s="2"/>
      <c r="M12" s="2"/>
    </row>
    <row r="13" spans="1:21" x14ac:dyDescent="0.2">
      <c r="A13" t="s">
        <v>25</v>
      </c>
      <c r="J13" s="2"/>
      <c r="K13" s="2"/>
      <c r="L13" s="2"/>
      <c r="M13" s="2"/>
    </row>
    <row r="14" spans="1:21" x14ac:dyDescent="0.2">
      <c r="A14" t="s">
        <v>26</v>
      </c>
      <c r="B14">
        <v>2031</v>
      </c>
      <c r="F14" t="s">
        <v>27</v>
      </c>
      <c r="J14" s="2">
        <v>1.1676970687033701</v>
      </c>
      <c r="K14" s="2"/>
      <c r="L14" s="2"/>
      <c r="M14" s="2"/>
    </row>
    <row r="15" spans="1:21" x14ac:dyDescent="0.2">
      <c r="A15" t="s">
        <v>28</v>
      </c>
      <c r="B15">
        <v>2025</v>
      </c>
      <c r="C15">
        <v>2040</v>
      </c>
      <c r="F15" t="s">
        <v>13</v>
      </c>
      <c r="G15" t="s">
        <v>29</v>
      </c>
      <c r="J15" s="2">
        <v>1.39161979611506</v>
      </c>
      <c r="K15" s="2">
        <v>2.1459751510413598</v>
      </c>
      <c r="L15" s="2"/>
      <c r="M15" s="2"/>
    </row>
    <row r="16" spans="1:21" x14ac:dyDescent="0.2">
      <c r="A16" t="s">
        <v>30</v>
      </c>
      <c r="B16">
        <v>2028</v>
      </c>
      <c r="C16">
        <v>2043</v>
      </c>
      <c r="F16" t="s">
        <v>31</v>
      </c>
      <c r="G16" t="s">
        <v>32</v>
      </c>
      <c r="J16" s="2">
        <v>1.3606799272530099</v>
      </c>
      <c r="K16" s="2">
        <v>1.8127139886377099</v>
      </c>
      <c r="L16" s="2"/>
      <c r="M16" s="2"/>
      <c r="U16" s="4" t="s">
        <v>282</v>
      </c>
    </row>
    <row r="17" spans="1:21" x14ac:dyDescent="0.2">
      <c r="A17" t="s">
        <v>33</v>
      </c>
      <c r="B17">
        <v>2031</v>
      </c>
      <c r="C17">
        <v>2074</v>
      </c>
      <c r="F17" t="s">
        <v>27</v>
      </c>
      <c r="G17" t="s">
        <v>34</v>
      </c>
      <c r="J17" s="2">
        <v>0.74854367818369605</v>
      </c>
      <c r="K17" s="2">
        <v>1.8433555303092599</v>
      </c>
      <c r="L17" s="2"/>
      <c r="M17" s="2"/>
      <c r="U17" s="3">
        <v>0.89001600000000003</v>
      </c>
    </row>
    <row r="18" spans="1:21" x14ac:dyDescent="0.2">
      <c r="A18" t="s">
        <v>35</v>
      </c>
      <c r="B18">
        <v>2023</v>
      </c>
      <c r="C18">
        <v>2051</v>
      </c>
      <c r="F18" t="s">
        <v>36</v>
      </c>
      <c r="G18" t="s">
        <v>37</v>
      </c>
      <c r="J18" s="2">
        <v>0.66082626689741597</v>
      </c>
      <c r="K18" s="2">
        <v>1.2746751758441699</v>
      </c>
      <c r="L18" s="2"/>
      <c r="M18" s="2"/>
    </row>
    <row r="19" spans="1:21" x14ac:dyDescent="0.2">
      <c r="A19" t="s">
        <v>38</v>
      </c>
      <c r="B19">
        <v>2042</v>
      </c>
      <c r="F19" t="s">
        <v>39</v>
      </c>
      <c r="J19" s="2">
        <v>0.50765736677745898</v>
      </c>
      <c r="K19" s="2"/>
      <c r="L19" s="2"/>
      <c r="M19" s="2"/>
    </row>
    <row r="20" spans="1:21" x14ac:dyDescent="0.2">
      <c r="A20" t="s">
        <v>40</v>
      </c>
      <c r="J20" s="2"/>
      <c r="K20" s="2"/>
      <c r="L20" s="2"/>
      <c r="M20" s="2"/>
    </row>
    <row r="21" spans="1:21" x14ac:dyDescent="0.2">
      <c r="A21" t="s">
        <v>41</v>
      </c>
      <c r="B21">
        <v>2038</v>
      </c>
      <c r="C21">
        <v>2060</v>
      </c>
      <c r="F21" t="s">
        <v>22</v>
      </c>
      <c r="G21" t="s">
        <v>42</v>
      </c>
      <c r="J21" s="2">
        <v>2.5623976130827799</v>
      </c>
      <c r="K21" s="2">
        <v>3.1213066025999701</v>
      </c>
      <c r="L21" s="2"/>
      <c r="M21" s="2"/>
    </row>
    <row r="22" spans="1:21" x14ac:dyDescent="0.2">
      <c r="A22" t="s">
        <v>43</v>
      </c>
      <c r="B22">
        <v>2022</v>
      </c>
      <c r="C22">
        <v>2039</v>
      </c>
      <c r="F22" t="s">
        <v>44</v>
      </c>
      <c r="G22" t="s">
        <v>45</v>
      </c>
      <c r="J22" s="2">
        <v>0.50441423357956106</v>
      </c>
      <c r="K22" s="2">
        <v>1.3981454217936999</v>
      </c>
      <c r="L22" s="2"/>
      <c r="M22" s="2"/>
    </row>
    <row r="23" spans="1:21" x14ac:dyDescent="0.2">
      <c r="A23" t="s">
        <v>46</v>
      </c>
      <c r="B23">
        <v>2027</v>
      </c>
      <c r="C23">
        <v>2043</v>
      </c>
      <c r="F23" t="s">
        <v>47</v>
      </c>
      <c r="G23" t="s">
        <v>32</v>
      </c>
      <c r="J23" s="2">
        <v>0.96298900011480504</v>
      </c>
      <c r="K23" s="2">
        <v>1.67016129100406</v>
      </c>
      <c r="L23" s="2"/>
      <c r="M23" s="2"/>
    </row>
    <row r="24" spans="1:21" x14ac:dyDescent="0.2">
      <c r="A24" t="s">
        <v>48</v>
      </c>
      <c r="B24">
        <v>2024</v>
      </c>
      <c r="C24">
        <v>2039</v>
      </c>
      <c r="F24" t="s">
        <v>49</v>
      </c>
      <c r="G24" t="s">
        <v>45</v>
      </c>
      <c r="J24" s="2">
        <v>0.31061596977408501</v>
      </c>
      <c r="K24" s="2">
        <v>1.0728179942746401</v>
      </c>
      <c r="L24" s="2"/>
      <c r="M24" s="2"/>
    </row>
    <row r="25" spans="1:21" x14ac:dyDescent="0.2">
      <c r="A25" t="s">
        <v>50</v>
      </c>
      <c r="B25">
        <v>2032</v>
      </c>
      <c r="C25">
        <v>2043</v>
      </c>
      <c r="F25" t="s">
        <v>51</v>
      </c>
      <c r="G25" t="s">
        <v>32</v>
      </c>
      <c r="J25" s="2">
        <v>0.85212740188269998</v>
      </c>
      <c r="K25" s="2">
        <v>1.6734034587411499</v>
      </c>
      <c r="L25" s="2"/>
      <c r="M25" s="2"/>
    </row>
    <row r="26" spans="1:21" x14ac:dyDescent="0.2">
      <c r="A26" t="s">
        <v>52</v>
      </c>
      <c r="B26">
        <v>2018</v>
      </c>
      <c r="C26">
        <v>2031</v>
      </c>
      <c r="F26" t="s">
        <v>53</v>
      </c>
      <c r="G26" t="s">
        <v>27</v>
      </c>
      <c r="J26" s="2">
        <v>0.71423186692603902</v>
      </c>
      <c r="K26" s="2">
        <v>0.94311847540844496</v>
      </c>
      <c r="L26" s="2"/>
      <c r="M26" s="2"/>
    </row>
    <row r="27" spans="1:21" x14ac:dyDescent="0.2">
      <c r="A27" t="s">
        <v>54</v>
      </c>
      <c r="B27">
        <v>2028</v>
      </c>
      <c r="C27">
        <v>2060</v>
      </c>
      <c r="F27" t="s">
        <v>31</v>
      </c>
      <c r="G27" t="s">
        <v>42</v>
      </c>
      <c r="J27" s="2">
        <v>0.68443506444989699</v>
      </c>
      <c r="K27" s="2">
        <v>1.4934826904101901</v>
      </c>
      <c r="L27" s="2"/>
      <c r="M27" s="2"/>
    </row>
    <row r="28" spans="1:21" x14ac:dyDescent="0.2">
      <c r="A28" t="s">
        <v>55</v>
      </c>
      <c r="B28">
        <v>2048</v>
      </c>
      <c r="F28" t="s">
        <v>56</v>
      </c>
      <c r="J28" s="2">
        <v>1.0283560461610499</v>
      </c>
      <c r="K28" s="2"/>
      <c r="L28" s="2"/>
      <c r="M28" s="2"/>
    </row>
    <row r="29" spans="1:21" x14ac:dyDescent="0.2">
      <c r="A29" t="s">
        <v>57</v>
      </c>
      <c r="B29">
        <v>2010</v>
      </c>
      <c r="C29">
        <v>2021</v>
      </c>
      <c r="F29" t="s">
        <v>58</v>
      </c>
      <c r="G29" t="s">
        <v>59</v>
      </c>
      <c r="J29" s="2">
        <v>0.214749413949505</v>
      </c>
      <c r="K29" s="2">
        <v>0.45363177546752198</v>
      </c>
      <c r="L29" s="2"/>
      <c r="M29" s="2"/>
    </row>
    <row r="30" spans="1:21" x14ac:dyDescent="0.2">
      <c r="A30" t="s">
        <v>60</v>
      </c>
      <c r="B30">
        <v>2014</v>
      </c>
      <c r="C30">
        <v>2027</v>
      </c>
      <c r="F30" t="s">
        <v>61</v>
      </c>
      <c r="G30" t="s">
        <v>47</v>
      </c>
      <c r="J30" s="2">
        <v>0.44814990008318001</v>
      </c>
      <c r="K30" s="2">
        <v>0.91811225325973</v>
      </c>
      <c r="L30" s="2"/>
      <c r="M30" s="2"/>
    </row>
    <row r="31" spans="1:21" x14ac:dyDescent="0.2">
      <c r="A31" t="s">
        <v>62</v>
      </c>
      <c r="B31">
        <v>2031</v>
      </c>
      <c r="F31" t="s">
        <v>27</v>
      </c>
      <c r="J31" s="2">
        <v>1.0129333473675</v>
      </c>
      <c r="K31" s="2"/>
      <c r="L31" s="2"/>
      <c r="M31" s="2"/>
    </row>
    <row r="32" spans="1:21" x14ac:dyDescent="0.2">
      <c r="A32" t="s">
        <v>63</v>
      </c>
      <c r="B32">
        <v>2013</v>
      </c>
      <c r="C32">
        <v>2030</v>
      </c>
      <c r="F32" t="s">
        <v>12</v>
      </c>
      <c r="G32" t="s">
        <v>15</v>
      </c>
      <c r="J32" s="2">
        <v>0.37007855254557798</v>
      </c>
      <c r="K32" s="2">
        <v>0.93398420658576498</v>
      </c>
      <c r="L32" s="2"/>
      <c r="M32" s="2"/>
    </row>
    <row r="33" spans="1:13" x14ac:dyDescent="0.2">
      <c r="A33" t="s">
        <v>64</v>
      </c>
      <c r="B33">
        <v>2023</v>
      </c>
      <c r="C33">
        <v>2044</v>
      </c>
      <c r="F33" t="s">
        <v>36</v>
      </c>
      <c r="G33" t="s">
        <v>65</v>
      </c>
      <c r="J33" s="2">
        <v>0.95988160166868397</v>
      </c>
      <c r="K33" s="2">
        <v>1.9070619275280301</v>
      </c>
      <c r="L33" s="2"/>
      <c r="M33" s="2"/>
    </row>
    <row r="34" spans="1:13" x14ac:dyDescent="0.2">
      <c r="A34" t="s">
        <v>66</v>
      </c>
      <c r="B34">
        <v>2021</v>
      </c>
      <c r="C34">
        <v>2057</v>
      </c>
      <c r="F34" t="s">
        <v>59</v>
      </c>
      <c r="G34" t="s">
        <v>67</v>
      </c>
      <c r="J34" s="2">
        <v>0.32521059447510298</v>
      </c>
      <c r="K34" s="2">
        <v>1.03584774279575</v>
      </c>
      <c r="L34" s="2"/>
      <c r="M34" s="2"/>
    </row>
    <row r="35" spans="1:13" x14ac:dyDescent="0.2">
      <c r="A35" t="s">
        <v>68</v>
      </c>
      <c r="J35" s="2"/>
      <c r="K35" s="2"/>
      <c r="L35" s="2"/>
      <c r="M35" s="2"/>
    </row>
    <row r="36" spans="1:13" x14ac:dyDescent="0.2">
      <c r="A36" t="s">
        <v>69</v>
      </c>
      <c r="B36">
        <v>2017</v>
      </c>
      <c r="C36">
        <v>2035</v>
      </c>
      <c r="F36" t="s">
        <v>70</v>
      </c>
      <c r="G36" t="s">
        <v>71</v>
      </c>
      <c r="J36" s="2">
        <v>0.48914394863251898</v>
      </c>
      <c r="K36" s="2">
        <v>1.1211079653474301</v>
      </c>
      <c r="L36" s="2"/>
      <c r="M36" s="2"/>
    </row>
    <row r="37" spans="1:13" x14ac:dyDescent="0.2">
      <c r="A37" t="s">
        <v>72</v>
      </c>
      <c r="J37" s="2"/>
      <c r="K37" s="2"/>
      <c r="L37" s="2"/>
      <c r="M37" s="2"/>
    </row>
    <row r="38" spans="1:13" x14ac:dyDescent="0.2">
      <c r="A38" t="s">
        <v>73</v>
      </c>
      <c r="B38">
        <v>2032</v>
      </c>
      <c r="F38" t="s">
        <v>51</v>
      </c>
      <c r="J38" s="2">
        <v>1.47924744842162</v>
      </c>
      <c r="K38" s="2"/>
      <c r="L38" s="2"/>
      <c r="M38" s="2"/>
    </row>
    <row r="39" spans="1:13" x14ac:dyDescent="0.2">
      <c r="A39" t="s">
        <v>74</v>
      </c>
      <c r="B39">
        <v>2026</v>
      </c>
      <c r="C39">
        <v>2044</v>
      </c>
      <c r="F39" t="s">
        <v>75</v>
      </c>
      <c r="G39" t="s">
        <v>65</v>
      </c>
      <c r="J39" s="2">
        <v>0.96591932414083803</v>
      </c>
      <c r="K39" s="2">
        <v>1.47625627991256</v>
      </c>
      <c r="L39" s="2"/>
      <c r="M39" s="2"/>
    </row>
    <row r="40" spans="1:13" x14ac:dyDescent="0.2">
      <c r="A40" t="s">
        <v>76</v>
      </c>
      <c r="B40">
        <v>2022</v>
      </c>
      <c r="C40">
        <v>2038</v>
      </c>
      <c r="F40" t="s">
        <v>44</v>
      </c>
      <c r="G40" t="s">
        <v>22</v>
      </c>
      <c r="J40" s="2">
        <v>0.67654432549793397</v>
      </c>
      <c r="K40" s="2">
        <v>1.22094780806839</v>
      </c>
      <c r="L40" s="2"/>
      <c r="M40" s="2"/>
    </row>
    <row r="41" spans="1:13" x14ac:dyDescent="0.2">
      <c r="A41" t="s">
        <v>77</v>
      </c>
      <c r="B41">
        <v>2029</v>
      </c>
      <c r="C41">
        <v>2041</v>
      </c>
      <c r="F41" t="s">
        <v>78</v>
      </c>
      <c r="G41" t="s">
        <v>79</v>
      </c>
      <c r="J41" s="2">
        <v>0.84025725577140498</v>
      </c>
      <c r="K41" s="2">
        <v>1.7052057166927399</v>
      </c>
      <c r="L41" s="2"/>
      <c r="M41" s="2"/>
    </row>
    <row r="42" spans="1:13" x14ac:dyDescent="0.2">
      <c r="A42" t="s">
        <v>80</v>
      </c>
      <c r="B42">
        <v>2046</v>
      </c>
      <c r="F42" t="s">
        <v>81</v>
      </c>
      <c r="J42" s="2">
        <v>0.81285915249012197</v>
      </c>
      <c r="K42" s="2"/>
      <c r="L42" s="2"/>
      <c r="M42" s="2"/>
    </row>
    <row r="43" spans="1:13" x14ac:dyDescent="0.2">
      <c r="A43" t="s">
        <v>82</v>
      </c>
      <c r="B43">
        <v>2051</v>
      </c>
      <c r="F43" t="s">
        <v>37</v>
      </c>
      <c r="J43" s="2">
        <v>0.85479150373844803</v>
      </c>
      <c r="K43" s="2"/>
      <c r="L43" s="2"/>
      <c r="M43" s="2"/>
    </row>
    <row r="44" spans="1:13" x14ac:dyDescent="0.2">
      <c r="A44" t="s">
        <v>83</v>
      </c>
      <c r="B44">
        <v>2037</v>
      </c>
      <c r="F44" t="s">
        <v>84</v>
      </c>
      <c r="J44" s="2">
        <v>1.24668562684192</v>
      </c>
      <c r="K44" s="2"/>
      <c r="L44" s="2"/>
      <c r="M44" s="2"/>
    </row>
    <row r="45" spans="1:13" x14ac:dyDescent="0.2">
      <c r="A45" t="s">
        <v>85</v>
      </c>
      <c r="B45">
        <v>2012</v>
      </c>
      <c r="C45">
        <v>2030</v>
      </c>
      <c r="D45">
        <v>2057</v>
      </c>
      <c r="E45">
        <v>2079</v>
      </c>
      <c r="F45" t="s">
        <v>17</v>
      </c>
      <c r="G45" t="s">
        <v>15</v>
      </c>
      <c r="H45" t="s">
        <v>67</v>
      </c>
      <c r="I45" t="s">
        <v>86</v>
      </c>
      <c r="J45" s="2">
        <v>0.22919159</v>
      </c>
      <c r="K45" s="2">
        <v>0.94501953999999999</v>
      </c>
      <c r="L45" s="2">
        <v>1.9597336000000001</v>
      </c>
      <c r="M45" s="2">
        <v>3.5099122999999999</v>
      </c>
    </row>
    <row r="46" spans="1:13" x14ac:dyDescent="0.2">
      <c r="A46" t="s">
        <v>87</v>
      </c>
      <c r="B46">
        <v>2020</v>
      </c>
      <c r="C46">
        <v>2039</v>
      </c>
      <c r="F46" t="s">
        <v>88</v>
      </c>
      <c r="G46" t="s">
        <v>45</v>
      </c>
      <c r="J46" s="2">
        <v>0.48637999999999998</v>
      </c>
      <c r="K46" s="2">
        <v>0.99413149999999995</v>
      </c>
      <c r="L46" s="2"/>
      <c r="M46" s="2"/>
    </row>
    <row r="47" spans="1:13" x14ac:dyDescent="0.2">
      <c r="A47" t="s">
        <v>89</v>
      </c>
      <c r="B47">
        <v>2015</v>
      </c>
      <c r="C47">
        <v>2025</v>
      </c>
      <c r="F47" t="s">
        <v>90</v>
      </c>
      <c r="G47" t="s">
        <v>13</v>
      </c>
      <c r="J47" s="2">
        <v>0.43127932383301498</v>
      </c>
      <c r="K47" s="2">
        <v>1.2139563001517599</v>
      </c>
      <c r="L47" s="2"/>
      <c r="M47" s="2"/>
    </row>
    <row r="48" spans="1:13" x14ac:dyDescent="0.2">
      <c r="A48" t="s">
        <v>91</v>
      </c>
      <c r="B48">
        <v>2021</v>
      </c>
      <c r="F48" t="s">
        <v>59</v>
      </c>
      <c r="J48" s="2">
        <v>0.31548891067506302</v>
      </c>
      <c r="K48" s="2"/>
      <c r="L48" s="2"/>
      <c r="M48" s="2"/>
    </row>
    <row r="49" spans="1:13" x14ac:dyDescent="0.2">
      <c r="A49" t="s">
        <v>92</v>
      </c>
      <c r="B49">
        <v>2024</v>
      </c>
      <c r="C49">
        <v>2063</v>
      </c>
      <c r="F49" t="s">
        <v>49</v>
      </c>
      <c r="G49" t="s">
        <v>93</v>
      </c>
      <c r="J49" s="2">
        <v>0.94643764495848703</v>
      </c>
      <c r="K49" s="2">
        <v>1.43005460103351</v>
      </c>
      <c r="L49" s="2"/>
      <c r="M49" s="2"/>
    </row>
    <row r="50" spans="1:13" x14ac:dyDescent="0.2">
      <c r="A50" t="s">
        <v>94</v>
      </c>
      <c r="B50">
        <v>2042</v>
      </c>
      <c r="F50" t="s">
        <v>39</v>
      </c>
      <c r="J50" s="2">
        <v>1.58398556179473</v>
      </c>
      <c r="K50" s="2"/>
      <c r="L50" s="2"/>
      <c r="M50" s="2"/>
    </row>
    <row r="51" spans="1:13" x14ac:dyDescent="0.2">
      <c r="A51" t="s">
        <v>95</v>
      </c>
      <c r="B51">
        <v>2064</v>
      </c>
      <c r="F51" t="s">
        <v>96</v>
      </c>
      <c r="J51" s="2">
        <v>1.5601286800869001</v>
      </c>
      <c r="K51" s="2"/>
      <c r="L51" s="2"/>
      <c r="M51" s="2"/>
    </row>
    <row r="52" spans="1:13" x14ac:dyDescent="0.2">
      <c r="A52" t="s">
        <v>97</v>
      </c>
      <c r="B52">
        <v>2042</v>
      </c>
      <c r="F52" t="s">
        <v>39</v>
      </c>
      <c r="J52" s="2">
        <v>0.89465247498328804</v>
      </c>
      <c r="K52" s="2"/>
      <c r="L52" s="2"/>
      <c r="M52" s="2"/>
    </row>
    <row r="53" spans="1:13" x14ac:dyDescent="0.2">
      <c r="A53" t="s">
        <v>98</v>
      </c>
      <c r="B53">
        <v>2043</v>
      </c>
      <c r="F53" t="s">
        <v>32</v>
      </c>
      <c r="J53" s="2">
        <v>1.4470739576551801</v>
      </c>
      <c r="K53" s="2"/>
      <c r="L53" s="2"/>
      <c r="M53" s="2"/>
    </row>
    <row r="54" spans="1:13" x14ac:dyDescent="0.2">
      <c r="A54" t="s">
        <v>99</v>
      </c>
      <c r="B54">
        <v>2030</v>
      </c>
      <c r="F54" t="s">
        <v>15</v>
      </c>
      <c r="J54" s="2">
        <v>0.93532776547523599</v>
      </c>
      <c r="K54" s="2"/>
      <c r="L54" s="2"/>
      <c r="M54" s="2"/>
    </row>
    <row r="55" spans="1:13" x14ac:dyDescent="0.2">
      <c r="A55" t="s">
        <v>100</v>
      </c>
      <c r="B55">
        <v>2022</v>
      </c>
      <c r="C55">
        <v>2050</v>
      </c>
      <c r="F55" t="s">
        <v>44</v>
      </c>
      <c r="G55" t="s">
        <v>101</v>
      </c>
      <c r="J55" s="2">
        <v>1.22430678473579</v>
      </c>
      <c r="K55" s="2">
        <v>1.4829433865017501</v>
      </c>
      <c r="L55" s="2"/>
      <c r="M55" s="2"/>
    </row>
    <row r="56" spans="1:13" x14ac:dyDescent="0.2">
      <c r="A56" t="s">
        <v>102</v>
      </c>
      <c r="J56" s="2"/>
      <c r="K56" s="2"/>
      <c r="L56" s="2"/>
      <c r="M56" s="2"/>
    </row>
    <row r="57" spans="1:13" x14ac:dyDescent="0.2">
      <c r="A57" t="s">
        <v>103</v>
      </c>
      <c r="J57" s="2"/>
      <c r="K57" s="2"/>
      <c r="L57" s="2"/>
      <c r="M57" s="2"/>
    </row>
    <row r="58" spans="1:13" x14ac:dyDescent="0.2">
      <c r="A58" t="s">
        <v>104</v>
      </c>
      <c r="B58">
        <v>2028</v>
      </c>
      <c r="C58">
        <v>2041</v>
      </c>
      <c r="F58" t="s">
        <v>31</v>
      </c>
      <c r="G58" t="s">
        <v>79</v>
      </c>
      <c r="J58" s="2">
        <v>1.06825669259294</v>
      </c>
      <c r="K58" s="2">
        <v>1.7895930232263599</v>
      </c>
      <c r="L58" s="2"/>
      <c r="M58" s="2"/>
    </row>
    <row r="59" spans="1:13" x14ac:dyDescent="0.2">
      <c r="A59" t="s">
        <v>105</v>
      </c>
      <c r="B59">
        <v>2024</v>
      </c>
      <c r="C59">
        <v>2037</v>
      </c>
      <c r="F59" t="s">
        <v>49</v>
      </c>
      <c r="G59" t="s">
        <v>84</v>
      </c>
      <c r="J59" s="2">
        <v>1.1982672411432</v>
      </c>
      <c r="K59" s="2">
        <v>1.8116578232415801</v>
      </c>
      <c r="L59" s="2"/>
      <c r="M59" s="2"/>
    </row>
    <row r="60" spans="1:13" x14ac:dyDescent="0.2">
      <c r="A60" t="s">
        <v>106</v>
      </c>
      <c r="B60">
        <v>2029</v>
      </c>
      <c r="C60">
        <v>2041</v>
      </c>
      <c r="D60">
        <v>2072</v>
      </c>
      <c r="F60" t="s">
        <v>78</v>
      </c>
      <c r="G60" t="s">
        <v>79</v>
      </c>
      <c r="H60" t="s">
        <v>107</v>
      </c>
      <c r="J60" s="2">
        <v>1.2183149468110599</v>
      </c>
      <c r="K60" s="2">
        <v>2.0487446702328902</v>
      </c>
      <c r="L60" s="2">
        <v>3.0059425348697002</v>
      </c>
      <c r="M60" s="2"/>
    </row>
    <row r="61" spans="1:13" x14ac:dyDescent="0.2">
      <c r="A61" t="s">
        <v>108</v>
      </c>
      <c r="B61">
        <v>2030</v>
      </c>
      <c r="C61">
        <v>2046</v>
      </c>
      <c r="F61" t="s">
        <v>15</v>
      </c>
      <c r="G61" t="s">
        <v>81</v>
      </c>
      <c r="J61" s="2">
        <v>1.23292301273964</v>
      </c>
      <c r="K61" s="2">
        <v>1.7521867119608101</v>
      </c>
      <c r="L61" s="2"/>
      <c r="M61" s="2"/>
    </row>
    <row r="62" spans="1:13" x14ac:dyDescent="0.2">
      <c r="A62" t="s">
        <v>109</v>
      </c>
      <c r="B62">
        <v>2021</v>
      </c>
      <c r="C62">
        <v>2040</v>
      </c>
      <c r="F62" t="s">
        <v>59</v>
      </c>
      <c r="G62" t="s">
        <v>29</v>
      </c>
      <c r="J62" s="2">
        <v>0.59410523974295004</v>
      </c>
      <c r="K62" s="2">
        <v>1.1976161575342901</v>
      </c>
      <c r="L62" s="2"/>
      <c r="M62" s="2"/>
    </row>
    <row r="63" spans="1:13" x14ac:dyDescent="0.2">
      <c r="A63" t="s">
        <v>110</v>
      </c>
      <c r="B63">
        <v>2036</v>
      </c>
      <c r="C63">
        <v>2058</v>
      </c>
      <c r="F63" t="s">
        <v>111</v>
      </c>
      <c r="G63" t="s">
        <v>112</v>
      </c>
      <c r="J63" s="2">
        <v>1.24800717137679</v>
      </c>
      <c r="K63" s="2">
        <v>1.79025508687392</v>
      </c>
      <c r="L63" s="2"/>
      <c r="M63" s="2"/>
    </row>
    <row r="64" spans="1:13" x14ac:dyDescent="0.2">
      <c r="A64" t="s">
        <v>113</v>
      </c>
      <c r="B64">
        <v>2056</v>
      </c>
      <c r="C64">
        <v>2090</v>
      </c>
      <c r="F64" t="s">
        <v>114</v>
      </c>
      <c r="G64" t="s">
        <v>115</v>
      </c>
      <c r="J64" s="2">
        <v>1.2686633556318601</v>
      </c>
      <c r="K64" s="2">
        <v>1.8836058328781899</v>
      </c>
      <c r="L64" s="2"/>
      <c r="M64" s="2"/>
    </row>
    <row r="65" spans="1:13" x14ac:dyDescent="0.2">
      <c r="A65" t="s">
        <v>116</v>
      </c>
      <c r="B65">
        <v>2040</v>
      </c>
      <c r="C65">
        <v>2053</v>
      </c>
      <c r="D65">
        <v>2083</v>
      </c>
      <c r="F65" t="s">
        <v>29</v>
      </c>
      <c r="G65" t="s">
        <v>117</v>
      </c>
      <c r="H65" t="s">
        <v>118</v>
      </c>
      <c r="J65" s="2">
        <v>2.19092595942212</v>
      </c>
      <c r="K65" s="2">
        <v>3.2859159521133599</v>
      </c>
      <c r="L65" s="2">
        <v>4.2916051539023199</v>
      </c>
      <c r="M65" s="2"/>
    </row>
    <row r="66" spans="1:13" x14ac:dyDescent="0.2">
      <c r="A66" t="s">
        <v>119</v>
      </c>
      <c r="B66">
        <v>2025</v>
      </c>
      <c r="C66">
        <v>2040</v>
      </c>
      <c r="D66">
        <v>2076</v>
      </c>
      <c r="F66" t="s">
        <v>13</v>
      </c>
      <c r="G66" t="s">
        <v>29</v>
      </c>
      <c r="H66" t="s">
        <v>120</v>
      </c>
      <c r="J66" s="2">
        <v>0.82367943317825898</v>
      </c>
      <c r="K66" s="2">
        <v>1.34108032176976</v>
      </c>
      <c r="L66" s="2">
        <v>2.0659365442925499</v>
      </c>
      <c r="M66" s="2"/>
    </row>
    <row r="67" spans="1:13" x14ac:dyDescent="0.2">
      <c r="A67" t="s">
        <v>121</v>
      </c>
      <c r="B67">
        <v>2029</v>
      </c>
      <c r="C67">
        <v>2043</v>
      </c>
      <c r="D67">
        <v>2079</v>
      </c>
      <c r="F67" t="s">
        <v>78</v>
      </c>
      <c r="G67" t="s">
        <v>32</v>
      </c>
      <c r="H67" t="s">
        <v>86</v>
      </c>
      <c r="J67" s="2">
        <v>0.79509133473176796</v>
      </c>
      <c r="K67" s="2">
        <v>1.5915283432173899</v>
      </c>
      <c r="L67" s="2">
        <v>2.07600407171268</v>
      </c>
      <c r="M67" s="2"/>
    </row>
    <row r="68" spans="1:13" x14ac:dyDescent="0.2">
      <c r="A68" t="s">
        <v>122</v>
      </c>
      <c r="B68">
        <v>2026</v>
      </c>
      <c r="C68">
        <v>2039</v>
      </c>
      <c r="D68">
        <v>2067</v>
      </c>
      <c r="F68" t="s">
        <v>75</v>
      </c>
      <c r="G68" t="s">
        <v>45</v>
      </c>
      <c r="H68" t="s">
        <v>123</v>
      </c>
      <c r="J68" s="2">
        <v>0.69622274503373005</v>
      </c>
      <c r="K68" s="2">
        <v>1.3237792395866299</v>
      </c>
      <c r="L68" s="2">
        <v>2.46145115976516</v>
      </c>
      <c r="M68" s="2"/>
    </row>
    <row r="69" spans="1:13" x14ac:dyDescent="0.2">
      <c r="A69" t="s">
        <v>124</v>
      </c>
      <c r="B69">
        <v>2031</v>
      </c>
      <c r="C69">
        <v>2041</v>
      </c>
      <c r="D69">
        <v>2066</v>
      </c>
      <c r="F69" t="s">
        <v>27</v>
      </c>
      <c r="G69" t="s">
        <v>79</v>
      </c>
      <c r="H69" t="s">
        <v>125</v>
      </c>
      <c r="J69" s="2">
        <v>0.63660614764379198</v>
      </c>
      <c r="K69" s="2">
        <v>1.3693439697079399</v>
      </c>
      <c r="L69" s="2">
        <v>2.95128872598479</v>
      </c>
      <c r="M69" s="2"/>
    </row>
    <row r="70" spans="1:13" x14ac:dyDescent="0.2">
      <c r="A70" t="s">
        <v>126</v>
      </c>
      <c r="B70">
        <v>2020</v>
      </c>
      <c r="C70">
        <v>2034</v>
      </c>
      <c r="D70">
        <v>2063</v>
      </c>
      <c r="F70" t="s">
        <v>88</v>
      </c>
      <c r="G70" t="s">
        <v>127</v>
      </c>
      <c r="H70" t="s">
        <v>93</v>
      </c>
      <c r="J70" s="2">
        <v>0.65928880106152898</v>
      </c>
      <c r="K70" s="2">
        <v>1.27930423687614</v>
      </c>
      <c r="L70" s="2">
        <v>2.4659900553596299</v>
      </c>
      <c r="M70" s="2"/>
    </row>
    <row r="71" spans="1:13" x14ac:dyDescent="0.2">
      <c r="A71" t="s">
        <v>128</v>
      </c>
      <c r="B71">
        <v>2031</v>
      </c>
      <c r="C71">
        <v>2049</v>
      </c>
      <c r="D71">
        <v>2085</v>
      </c>
      <c r="F71" t="s">
        <v>27</v>
      </c>
      <c r="G71" t="s">
        <v>129</v>
      </c>
      <c r="H71" t="s">
        <v>130</v>
      </c>
      <c r="J71" s="2">
        <v>0.79185877975170005</v>
      </c>
      <c r="K71" s="2">
        <v>0.94604524693873704</v>
      </c>
      <c r="L71" s="2">
        <v>1.9276448337221399</v>
      </c>
      <c r="M71" s="2"/>
    </row>
    <row r="72" spans="1:13" x14ac:dyDescent="0.2">
      <c r="A72" t="s">
        <v>131</v>
      </c>
      <c r="B72">
        <v>2038</v>
      </c>
      <c r="C72">
        <v>2056</v>
      </c>
      <c r="D72">
        <v>2089</v>
      </c>
      <c r="F72" t="s">
        <v>22</v>
      </c>
      <c r="G72" t="s">
        <v>114</v>
      </c>
      <c r="H72" t="s">
        <v>132</v>
      </c>
      <c r="J72" s="2">
        <v>0.940202260519586</v>
      </c>
      <c r="K72" s="2">
        <v>1.2371507201433101</v>
      </c>
      <c r="L72" s="2">
        <v>2.2183875868211</v>
      </c>
      <c r="M72" s="2"/>
    </row>
    <row r="73" spans="1:13" x14ac:dyDescent="0.2">
      <c r="A73" t="s">
        <v>133</v>
      </c>
      <c r="B73">
        <v>2010</v>
      </c>
      <c r="C73">
        <v>2021</v>
      </c>
      <c r="D73">
        <v>2045</v>
      </c>
      <c r="E73">
        <v>2081</v>
      </c>
      <c r="F73" t="s">
        <v>58</v>
      </c>
      <c r="G73" t="s">
        <v>59</v>
      </c>
      <c r="H73" t="s">
        <v>134</v>
      </c>
      <c r="I73" t="s">
        <v>135</v>
      </c>
      <c r="J73" s="2">
        <v>0.247648154364804</v>
      </c>
      <c r="K73" s="2">
        <v>0.91101201375336904</v>
      </c>
      <c r="L73" s="2">
        <v>1.9685270945232201</v>
      </c>
      <c r="M73" s="2">
        <v>3.1466245015463401</v>
      </c>
    </row>
    <row r="74" spans="1:13" x14ac:dyDescent="0.2">
      <c r="A74" t="s">
        <v>136</v>
      </c>
      <c r="B74">
        <v>2014</v>
      </c>
      <c r="C74">
        <v>2025</v>
      </c>
      <c r="D74">
        <v>2050</v>
      </c>
      <c r="E74">
        <v>2084</v>
      </c>
      <c r="F74" t="s">
        <v>61</v>
      </c>
      <c r="G74" t="s">
        <v>13</v>
      </c>
      <c r="H74" t="s">
        <v>101</v>
      </c>
      <c r="I74" t="s">
        <v>137</v>
      </c>
      <c r="J74" s="2">
        <v>0.39986685293692897</v>
      </c>
      <c r="K74" s="2">
        <v>1.07768163327819</v>
      </c>
      <c r="L74" s="2">
        <v>2.4992855354591899</v>
      </c>
      <c r="M74" s="2">
        <v>3.4649832266348399</v>
      </c>
    </row>
    <row r="75" spans="1:13" x14ac:dyDescent="0.2">
      <c r="A75" t="s">
        <v>138</v>
      </c>
      <c r="B75">
        <v>2008</v>
      </c>
      <c r="C75">
        <v>2036</v>
      </c>
      <c r="D75">
        <v>2074</v>
      </c>
      <c r="F75" t="s">
        <v>139</v>
      </c>
      <c r="G75" t="s">
        <v>111</v>
      </c>
      <c r="H75" t="s">
        <v>34</v>
      </c>
      <c r="J75" s="2">
        <v>8.9936131319686294E-2</v>
      </c>
      <c r="K75" s="2">
        <v>0.92610087267566998</v>
      </c>
      <c r="L75" s="2">
        <v>1.7990900046379901</v>
      </c>
      <c r="M75" s="2"/>
    </row>
    <row r="76" spans="1:13" x14ac:dyDescent="0.2">
      <c r="A76" t="s">
        <v>140</v>
      </c>
      <c r="B76">
        <v>2027</v>
      </c>
      <c r="C76">
        <v>2050</v>
      </c>
      <c r="D76">
        <v>2091</v>
      </c>
      <c r="F76" t="s">
        <v>47</v>
      </c>
      <c r="G76" t="s">
        <v>101</v>
      </c>
      <c r="H76" t="s">
        <v>141</v>
      </c>
      <c r="J76" s="2">
        <v>0.64802615469895597</v>
      </c>
      <c r="K76" s="2">
        <v>1.1396622520166799</v>
      </c>
      <c r="L76" s="2">
        <v>2.3771028757036698</v>
      </c>
      <c r="M76" s="2"/>
    </row>
    <row r="77" spans="1:13" x14ac:dyDescent="0.2">
      <c r="A77" t="s">
        <v>142</v>
      </c>
      <c r="B77">
        <v>2011</v>
      </c>
      <c r="C77">
        <v>2034</v>
      </c>
      <c r="D77">
        <v>2068</v>
      </c>
      <c r="F77" t="s">
        <v>143</v>
      </c>
      <c r="G77" t="s">
        <v>127</v>
      </c>
      <c r="H77" t="s">
        <v>10</v>
      </c>
      <c r="J77" s="2">
        <v>0.214741778673322</v>
      </c>
      <c r="K77" s="2">
        <v>0.81826348149123695</v>
      </c>
      <c r="L77" s="2">
        <v>1.64459827038435</v>
      </c>
      <c r="M77" s="2"/>
    </row>
    <row r="78" spans="1:13" x14ac:dyDescent="0.2">
      <c r="A78" t="s">
        <v>144</v>
      </c>
      <c r="B78">
        <v>2023</v>
      </c>
      <c r="C78">
        <v>2045</v>
      </c>
      <c r="D78">
        <v>2086</v>
      </c>
      <c r="F78" t="s">
        <v>36</v>
      </c>
      <c r="G78" t="s">
        <v>134</v>
      </c>
      <c r="H78" t="s">
        <v>145</v>
      </c>
      <c r="J78" s="2">
        <v>0.94930597184294896</v>
      </c>
      <c r="K78" s="2">
        <v>1.9186587203060399</v>
      </c>
      <c r="L78" s="2">
        <v>2.4737583558019298</v>
      </c>
      <c r="M78" s="2"/>
    </row>
    <row r="79" spans="1:13" x14ac:dyDescent="0.2">
      <c r="A79" t="s">
        <v>146</v>
      </c>
      <c r="B79">
        <v>2022</v>
      </c>
      <c r="C79">
        <v>2041</v>
      </c>
      <c r="F79" t="s">
        <v>44</v>
      </c>
      <c r="G79" t="s">
        <v>79</v>
      </c>
      <c r="J79" s="2">
        <v>0.38709782394491499</v>
      </c>
      <c r="K79" s="2">
        <v>1.1256945521228801</v>
      </c>
      <c r="L79" s="2"/>
      <c r="M79" s="2"/>
    </row>
    <row r="80" spans="1:13" x14ac:dyDescent="0.2">
      <c r="A80" t="s">
        <v>147</v>
      </c>
      <c r="B80">
        <v>2032</v>
      </c>
      <c r="C80">
        <v>2066</v>
      </c>
      <c r="F80" t="s">
        <v>51</v>
      </c>
      <c r="G80" t="s">
        <v>125</v>
      </c>
      <c r="J80" s="2">
        <v>0.90933094024658201</v>
      </c>
      <c r="K80" s="2">
        <v>1.42677008310954</v>
      </c>
      <c r="L80" s="2"/>
      <c r="M80" s="2"/>
    </row>
    <row r="81" spans="1:13" x14ac:dyDescent="0.2">
      <c r="A81" t="s">
        <v>148</v>
      </c>
      <c r="B81">
        <v>2018</v>
      </c>
      <c r="C81">
        <v>2033</v>
      </c>
      <c r="D81">
        <v>2076</v>
      </c>
      <c r="F81" t="s">
        <v>53</v>
      </c>
      <c r="G81" t="s">
        <v>149</v>
      </c>
      <c r="H81" t="s">
        <v>120</v>
      </c>
      <c r="J81" s="2">
        <v>0.27017682093398798</v>
      </c>
      <c r="K81" s="2">
        <v>0.90327986741447697</v>
      </c>
      <c r="L81" s="2">
        <v>2.1591106380818599</v>
      </c>
      <c r="M81" s="2"/>
    </row>
    <row r="82" spans="1:13" x14ac:dyDescent="0.2">
      <c r="A82" t="s">
        <v>150</v>
      </c>
      <c r="B82">
        <v>2032</v>
      </c>
      <c r="C82">
        <v>2050</v>
      </c>
      <c r="F82" t="s">
        <v>51</v>
      </c>
      <c r="G82" t="s">
        <v>101</v>
      </c>
      <c r="J82" s="2">
        <v>0.99720703714845305</v>
      </c>
      <c r="K82" s="2">
        <v>1.6772889300680101</v>
      </c>
      <c r="L82" s="2"/>
      <c r="M82" s="2"/>
    </row>
    <row r="83" spans="1:13" x14ac:dyDescent="0.2">
      <c r="A83" t="s">
        <v>151</v>
      </c>
      <c r="B83">
        <v>2032</v>
      </c>
      <c r="C83">
        <v>2050</v>
      </c>
      <c r="F83" t="s">
        <v>51</v>
      </c>
      <c r="G83" t="s">
        <v>101</v>
      </c>
      <c r="J83" s="2">
        <v>0.98323817518911405</v>
      </c>
      <c r="K83" s="2">
        <v>1.65557634817044</v>
      </c>
      <c r="L83" s="2"/>
      <c r="M83" s="2"/>
    </row>
    <row r="84" spans="1:13" x14ac:dyDescent="0.2">
      <c r="A84" t="s">
        <v>152</v>
      </c>
      <c r="B84">
        <v>2047</v>
      </c>
      <c r="C84">
        <v>2074</v>
      </c>
      <c r="F84" t="s">
        <v>153</v>
      </c>
      <c r="G84" t="s">
        <v>34</v>
      </c>
      <c r="J84" s="2">
        <v>1.0675881726146501</v>
      </c>
      <c r="K84" s="2">
        <v>1.79784619645486</v>
      </c>
      <c r="L84" s="2"/>
      <c r="M84" s="2"/>
    </row>
    <row r="85" spans="1:13" x14ac:dyDescent="0.2">
      <c r="A85" t="s">
        <v>154</v>
      </c>
      <c r="B85">
        <v>2033</v>
      </c>
      <c r="C85">
        <v>2055</v>
      </c>
      <c r="F85" t="s">
        <v>149</v>
      </c>
      <c r="G85" t="s">
        <v>155</v>
      </c>
      <c r="J85" s="2">
        <v>1.4974328891001401</v>
      </c>
      <c r="K85" s="2">
        <v>1.7099448768059999</v>
      </c>
      <c r="L85" s="2"/>
      <c r="M85" s="2"/>
    </row>
    <row r="86" spans="1:13" x14ac:dyDescent="0.2">
      <c r="A86" t="s">
        <v>156</v>
      </c>
      <c r="B86">
        <v>2028</v>
      </c>
      <c r="C86">
        <v>2042</v>
      </c>
      <c r="D86">
        <v>2083</v>
      </c>
      <c r="F86" t="s">
        <v>31</v>
      </c>
      <c r="G86" t="s">
        <v>39</v>
      </c>
      <c r="H86" t="s">
        <v>118</v>
      </c>
      <c r="J86" s="2">
        <v>1.1945541793891401</v>
      </c>
      <c r="K86" s="2">
        <v>1.9009136851144499</v>
      </c>
      <c r="L86" s="2">
        <v>2.7137934503127701</v>
      </c>
      <c r="M86" s="2"/>
    </row>
    <row r="87" spans="1:13" x14ac:dyDescent="0.2">
      <c r="A87" t="s">
        <v>157</v>
      </c>
      <c r="B87">
        <v>2020</v>
      </c>
      <c r="C87">
        <v>2034</v>
      </c>
      <c r="D87">
        <v>2062</v>
      </c>
      <c r="F87" t="s">
        <v>88</v>
      </c>
      <c r="G87" t="s">
        <v>127</v>
      </c>
      <c r="H87" t="s">
        <v>158</v>
      </c>
      <c r="J87" s="2">
        <v>1.0303568047148599</v>
      </c>
      <c r="K87" s="2">
        <v>1.51613320500004</v>
      </c>
      <c r="L87" s="2">
        <v>2.6473017385885602</v>
      </c>
      <c r="M87" s="2"/>
    </row>
    <row r="88" spans="1:13" x14ac:dyDescent="0.2">
      <c r="A88" t="s">
        <v>159</v>
      </c>
      <c r="B88">
        <v>2037</v>
      </c>
      <c r="C88">
        <v>2062</v>
      </c>
      <c r="F88" t="s">
        <v>84</v>
      </c>
      <c r="G88" t="s">
        <v>158</v>
      </c>
      <c r="J88" s="2">
        <v>0.92797069474085803</v>
      </c>
      <c r="K88" s="2">
        <v>1.4064785184664499</v>
      </c>
      <c r="L88" s="2"/>
      <c r="M88" s="2"/>
    </row>
    <row r="89" spans="1:13" x14ac:dyDescent="0.2">
      <c r="A89" t="s">
        <v>160</v>
      </c>
      <c r="B89">
        <v>2036</v>
      </c>
      <c r="C89">
        <v>2064</v>
      </c>
      <c r="F89" t="s">
        <v>111</v>
      </c>
      <c r="G89" t="s">
        <v>96</v>
      </c>
      <c r="J89" s="2">
        <v>0.994539069602979</v>
      </c>
      <c r="K89" s="2">
        <v>1.8829193396530901</v>
      </c>
      <c r="L89" s="2"/>
      <c r="M89" s="2"/>
    </row>
    <row r="90" spans="1:13" x14ac:dyDescent="0.2">
      <c r="A90" t="s">
        <v>161</v>
      </c>
      <c r="B90">
        <v>2038</v>
      </c>
      <c r="C90">
        <v>2073</v>
      </c>
      <c r="F90" t="s">
        <v>22</v>
      </c>
      <c r="G90" t="s">
        <v>162</v>
      </c>
      <c r="J90" s="2">
        <v>1.3488026252763401</v>
      </c>
      <c r="K90" s="2">
        <v>1.9885308508852599</v>
      </c>
      <c r="L90" s="2"/>
      <c r="M90" s="2"/>
    </row>
    <row r="91" spans="1:13" x14ac:dyDescent="0.2">
      <c r="A91" t="s">
        <v>163</v>
      </c>
      <c r="B91">
        <v>2019</v>
      </c>
      <c r="C91">
        <v>2034</v>
      </c>
      <c r="D91">
        <v>2066</v>
      </c>
      <c r="F91" t="s">
        <v>21</v>
      </c>
      <c r="G91" t="s">
        <v>127</v>
      </c>
      <c r="H91" t="s">
        <v>125</v>
      </c>
      <c r="J91" s="2">
        <v>0.52504269999999997</v>
      </c>
      <c r="K91" s="2">
        <v>1.4451324999999999</v>
      </c>
      <c r="L91" s="2">
        <v>2.7629134999999998</v>
      </c>
      <c r="M91" s="2"/>
    </row>
    <row r="92" spans="1:13" x14ac:dyDescent="0.2">
      <c r="A92" t="s">
        <v>164</v>
      </c>
      <c r="B92">
        <v>2014</v>
      </c>
      <c r="C92">
        <v>2024</v>
      </c>
      <c r="D92">
        <v>2051</v>
      </c>
      <c r="F92" t="s">
        <v>61</v>
      </c>
      <c r="G92" t="s">
        <v>49</v>
      </c>
      <c r="H92" t="s">
        <v>37</v>
      </c>
      <c r="J92" s="2">
        <v>0.35158617140817799</v>
      </c>
      <c r="K92" s="2">
        <v>1.58413749702635</v>
      </c>
      <c r="L92" s="2">
        <v>2.61799366766664</v>
      </c>
      <c r="M92" s="2"/>
    </row>
    <row r="93" spans="1:13" x14ac:dyDescent="0.2">
      <c r="A93" t="s">
        <v>165</v>
      </c>
      <c r="B93">
        <v>2022</v>
      </c>
      <c r="C93">
        <v>2041</v>
      </c>
      <c r="F93" t="s">
        <v>44</v>
      </c>
      <c r="G93" t="s">
        <v>79</v>
      </c>
      <c r="J93" s="2">
        <v>0.30308073891534898</v>
      </c>
      <c r="K93" s="2">
        <v>0.74702986611260902</v>
      </c>
      <c r="L93" s="2"/>
      <c r="M93" s="2"/>
    </row>
    <row r="94" spans="1:13" x14ac:dyDescent="0.2">
      <c r="A94" t="s">
        <v>166</v>
      </c>
      <c r="B94">
        <v>2024</v>
      </c>
      <c r="C94">
        <v>2047</v>
      </c>
      <c r="F94" t="s">
        <v>49</v>
      </c>
      <c r="G94" t="s">
        <v>153</v>
      </c>
      <c r="J94" s="2">
        <v>0.66522750854491897</v>
      </c>
      <c r="K94" s="2">
        <v>1.81199906667073</v>
      </c>
      <c r="L94" s="2"/>
      <c r="M94" s="2"/>
    </row>
    <row r="95" spans="1:13" x14ac:dyDescent="0.2">
      <c r="A95" t="s">
        <v>167</v>
      </c>
      <c r="B95">
        <v>2042</v>
      </c>
      <c r="C95">
        <v>2064</v>
      </c>
      <c r="F95" t="s">
        <v>39</v>
      </c>
      <c r="G95" t="s">
        <v>96</v>
      </c>
      <c r="J95" s="2">
        <v>1.8558576795789701</v>
      </c>
      <c r="K95" s="2">
        <v>2.3510983361137998</v>
      </c>
      <c r="L95" s="2"/>
      <c r="M95" s="2"/>
    </row>
    <row r="96" spans="1:13" x14ac:dyDescent="0.2">
      <c r="A96" t="s">
        <v>168</v>
      </c>
      <c r="B96">
        <v>2047</v>
      </c>
      <c r="C96">
        <v>2074</v>
      </c>
      <c r="F96" t="s">
        <v>153</v>
      </c>
      <c r="G96" t="s">
        <v>34</v>
      </c>
      <c r="J96" s="2">
        <v>1.2664518561647</v>
      </c>
      <c r="K96" s="2">
        <v>1.8110792384853101</v>
      </c>
      <c r="L96" s="2"/>
      <c r="M96" s="2"/>
    </row>
    <row r="97" spans="1:13" x14ac:dyDescent="0.2">
      <c r="A97" t="s">
        <v>169</v>
      </c>
      <c r="B97">
        <v>2038</v>
      </c>
      <c r="C97">
        <v>2064</v>
      </c>
      <c r="F97" t="s">
        <v>22</v>
      </c>
      <c r="G97" t="s">
        <v>96</v>
      </c>
      <c r="J97" s="2">
        <v>1.07352811277283</v>
      </c>
      <c r="K97" s="2">
        <v>1.5849269976389799</v>
      </c>
      <c r="L97" s="2"/>
      <c r="M97" s="2"/>
    </row>
    <row r="98" spans="1:13" x14ac:dyDescent="0.2">
      <c r="A98" t="s">
        <v>170</v>
      </c>
      <c r="B98">
        <v>2037</v>
      </c>
      <c r="C98">
        <v>2058</v>
      </c>
      <c r="F98" t="s">
        <v>84</v>
      </c>
      <c r="G98" t="s">
        <v>112</v>
      </c>
      <c r="J98" s="2">
        <v>1.1631742689344899</v>
      </c>
      <c r="K98" s="2">
        <v>1.61900668674048</v>
      </c>
      <c r="L98" s="2"/>
      <c r="M98" s="2"/>
    </row>
    <row r="99" spans="1:13" x14ac:dyDescent="0.2">
      <c r="A99" t="s">
        <v>171</v>
      </c>
      <c r="B99">
        <v>2031</v>
      </c>
      <c r="C99">
        <v>2050</v>
      </c>
      <c r="F99" t="s">
        <v>27</v>
      </c>
      <c r="G99" t="s">
        <v>101</v>
      </c>
      <c r="J99" s="2">
        <v>1.03747466720568</v>
      </c>
      <c r="K99" s="2">
        <v>1.3695843568142401</v>
      </c>
      <c r="L99" s="2"/>
      <c r="M99" s="2"/>
    </row>
    <row r="100" spans="1:13" x14ac:dyDescent="0.2">
      <c r="A100" t="s">
        <v>172</v>
      </c>
      <c r="B100">
        <v>2025</v>
      </c>
      <c r="C100">
        <v>2043</v>
      </c>
      <c r="F100" t="s">
        <v>13</v>
      </c>
      <c r="G100" t="s">
        <v>32</v>
      </c>
      <c r="J100" s="2">
        <v>1.1157364633347699</v>
      </c>
      <c r="K100" s="2">
        <v>1.71808351940573</v>
      </c>
      <c r="L100" s="2"/>
      <c r="M100" s="2"/>
    </row>
    <row r="101" spans="1:13" x14ac:dyDescent="0.2">
      <c r="A101" t="s">
        <v>173</v>
      </c>
      <c r="B101">
        <v>2056</v>
      </c>
      <c r="C101">
        <v>2086</v>
      </c>
      <c r="F101" t="s">
        <v>114</v>
      </c>
      <c r="G101" t="s">
        <v>145</v>
      </c>
      <c r="J101" s="2">
        <v>1.6532092765525299</v>
      </c>
      <c r="K101" s="2">
        <v>2.1603128362584698</v>
      </c>
      <c r="L101" s="2"/>
      <c r="M101" s="2"/>
    </row>
    <row r="102" spans="1:13" x14ac:dyDescent="0.2">
      <c r="A102" t="s">
        <v>174</v>
      </c>
      <c r="B102">
        <v>2047</v>
      </c>
      <c r="C102">
        <v>2079</v>
      </c>
      <c r="F102" t="s">
        <v>153</v>
      </c>
      <c r="G102" t="s">
        <v>86</v>
      </c>
      <c r="J102" s="2">
        <v>1.4766804064679699</v>
      </c>
      <c r="K102" s="2">
        <v>1.9302608195684401</v>
      </c>
      <c r="L102" s="2"/>
      <c r="M102" s="2"/>
    </row>
    <row r="103" spans="1:13" x14ac:dyDescent="0.2">
      <c r="A103" t="s">
        <v>175</v>
      </c>
      <c r="B103">
        <v>2032</v>
      </c>
      <c r="C103">
        <v>2044</v>
      </c>
      <c r="D103">
        <v>2069</v>
      </c>
      <c r="F103" t="s">
        <v>51</v>
      </c>
      <c r="G103" t="s">
        <v>65</v>
      </c>
      <c r="H103" t="s">
        <v>176</v>
      </c>
      <c r="J103" s="2">
        <v>1.1181759159801401</v>
      </c>
      <c r="K103" s="2">
        <v>1.5834248300123499</v>
      </c>
      <c r="L103" s="2">
        <v>3.1708323798723201</v>
      </c>
      <c r="M103" s="2"/>
    </row>
    <row r="104" spans="1:13" x14ac:dyDescent="0.2">
      <c r="A104" t="s">
        <v>177</v>
      </c>
      <c r="B104">
        <v>2024</v>
      </c>
      <c r="C104">
        <v>2035</v>
      </c>
      <c r="D104">
        <v>2060</v>
      </c>
      <c r="E104">
        <v>2091</v>
      </c>
      <c r="F104" t="s">
        <v>49</v>
      </c>
      <c r="G104" t="s">
        <v>71</v>
      </c>
      <c r="H104" t="s">
        <v>42</v>
      </c>
      <c r="I104" t="s">
        <v>141</v>
      </c>
      <c r="J104" s="2">
        <v>1.2309563447218399</v>
      </c>
      <c r="K104" s="2">
        <v>2.1617912984593701</v>
      </c>
      <c r="L104" s="2">
        <v>3.3543439747346699</v>
      </c>
      <c r="M104" s="2">
        <v>5.0014971354093101</v>
      </c>
    </row>
    <row r="105" spans="1:13" x14ac:dyDescent="0.2">
      <c r="A105" t="s">
        <v>178</v>
      </c>
      <c r="B105">
        <v>2028</v>
      </c>
      <c r="C105">
        <v>2040</v>
      </c>
      <c r="D105">
        <v>2063</v>
      </c>
      <c r="E105">
        <v>2083</v>
      </c>
      <c r="F105" t="s">
        <v>31</v>
      </c>
      <c r="G105" t="s">
        <v>29</v>
      </c>
      <c r="H105" t="s">
        <v>93</v>
      </c>
      <c r="I105" t="s">
        <v>118</v>
      </c>
      <c r="J105" s="2">
        <v>1.1000083762227799</v>
      </c>
      <c r="K105" s="2">
        <v>1.87646666864828</v>
      </c>
      <c r="L105" s="2">
        <v>2.7692124726576002</v>
      </c>
      <c r="M105" s="2">
        <v>4.4025592494431596</v>
      </c>
    </row>
    <row r="106" spans="1:13" x14ac:dyDescent="0.2">
      <c r="A106" t="s">
        <v>179</v>
      </c>
      <c r="B106">
        <v>2034</v>
      </c>
      <c r="C106">
        <v>2049</v>
      </c>
      <c r="D106">
        <v>2070</v>
      </c>
      <c r="F106" t="s">
        <v>127</v>
      </c>
      <c r="G106" t="s">
        <v>129</v>
      </c>
      <c r="H106" t="s">
        <v>180</v>
      </c>
      <c r="J106" s="2">
        <v>0.83340956856950699</v>
      </c>
      <c r="K106" s="2">
        <v>1.49412691152383</v>
      </c>
      <c r="L106" s="2">
        <v>3.02139535831243</v>
      </c>
      <c r="M106" s="2"/>
    </row>
    <row r="107" spans="1:13" x14ac:dyDescent="0.2">
      <c r="A107" t="s">
        <v>181</v>
      </c>
      <c r="B107">
        <v>2023</v>
      </c>
      <c r="C107">
        <v>2038</v>
      </c>
      <c r="D107">
        <v>2065</v>
      </c>
      <c r="F107" t="s">
        <v>36</v>
      </c>
      <c r="G107" t="s">
        <v>22</v>
      </c>
      <c r="H107" t="s">
        <v>182</v>
      </c>
      <c r="J107" s="2">
        <v>0.85901821389942301</v>
      </c>
      <c r="K107" s="2">
        <v>1.31637917617369</v>
      </c>
      <c r="L107" s="2">
        <v>2.7878231845461698</v>
      </c>
      <c r="M107" s="2"/>
    </row>
    <row r="108" spans="1:13" x14ac:dyDescent="0.2">
      <c r="A108" t="s">
        <v>183</v>
      </c>
      <c r="B108">
        <v>2033</v>
      </c>
      <c r="C108">
        <v>2047</v>
      </c>
      <c r="D108">
        <v>2075</v>
      </c>
      <c r="F108" t="s">
        <v>149</v>
      </c>
      <c r="G108" t="s">
        <v>153</v>
      </c>
      <c r="H108" t="s">
        <v>184</v>
      </c>
      <c r="J108" s="2">
        <v>0.99175239911429003</v>
      </c>
      <c r="K108" s="2">
        <v>2.0308371339899698</v>
      </c>
      <c r="L108" s="2">
        <v>3.1576496725510599</v>
      </c>
      <c r="M108" s="2"/>
    </row>
    <row r="109" spans="1:13" x14ac:dyDescent="0.2">
      <c r="A109" t="s">
        <v>185</v>
      </c>
      <c r="B109">
        <v>2042</v>
      </c>
      <c r="F109" t="s">
        <v>39</v>
      </c>
      <c r="J109" s="2">
        <v>1.5657428882740401</v>
      </c>
      <c r="K109" s="2"/>
      <c r="L109" s="2"/>
      <c r="M109" s="2"/>
    </row>
    <row r="110" spans="1:13" x14ac:dyDescent="0.2">
      <c r="A110" t="s">
        <v>186</v>
      </c>
      <c r="B110">
        <v>2047</v>
      </c>
      <c r="C110">
        <v>2067</v>
      </c>
      <c r="F110" t="s">
        <v>153</v>
      </c>
      <c r="G110" t="s">
        <v>123</v>
      </c>
      <c r="J110" s="2">
        <v>1.2562590126672599</v>
      </c>
      <c r="K110" s="2">
        <v>1.8104741339919299</v>
      </c>
      <c r="L110" s="2"/>
      <c r="M110" s="2"/>
    </row>
    <row r="111" spans="1:13" x14ac:dyDescent="0.2">
      <c r="A111" t="s">
        <v>187</v>
      </c>
      <c r="B111">
        <v>2041</v>
      </c>
      <c r="C111">
        <v>2053</v>
      </c>
      <c r="D111">
        <v>2075</v>
      </c>
      <c r="F111" t="s">
        <v>79</v>
      </c>
      <c r="G111" t="s">
        <v>117</v>
      </c>
      <c r="H111" t="s">
        <v>184</v>
      </c>
      <c r="J111" s="2">
        <v>2.3890573684796199</v>
      </c>
      <c r="K111" s="2">
        <v>2.9830186048242</v>
      </c>
      <c r="L111" s="2">
        <v>4.1255501015432303</v>
      </c>
      <c r="M111" s="2"/>
    </row>
    <row r="112" spans="1:13" x14ac:dyDescent="0.2">
      <c r="A112" t="s">
        <v>188</v>
      </c>
      <c r="B112">
        <v>2029</v>
      </c>
      <c r="C112">
        <v>2042</v>
      </c>
      <c r="D112">
        <v>2064</v>
      </c>
      <c r="E112">
        <v>2086</v>
      </c>
      <c r="F112" t="s">
        <v>78</v>
      </c>
      <c r="G112" t="s">
        <v>39</v>
      </c>
      <c r="H112" t="s">
        <v>96</v>
      </c>
      <c r="I112" t="s">
        <v>145</v>
      </c>
      <c r="J112" s="2">
        <v>0.85771955111994203</v>
      </c>
      <c r="K112" s="2">
        <v>1.4658129460337299</v>
      </c>
      <c r="L112" s="2">
        <v>2.5350009295491498</v>
      </c>
      <c r="M112" s="2">
        <v>3.62492918444919</v>
      </c>
    </row>
    <row r="113" spans="1:13" x14ac:dyDescent="0.2">
      <c r="A113" t="s">
        <v>189</v>
      </c>
      <c r="B113">
        <v>2031</v>
      </c>
      <c r="C113">
        <v>2044</v>
      </c>
      <c r="D113">
        <v>2069</v>
      </c>
      <c r="E113">
        <v>2088</v>
      </c>
      <c r="F113" t="s">
        <v>27</v>
      </c>
      <c r="G113" t="s">
        <v>65</v>
      </c>
      <c r="H113" t="s">
        <v>176</v>
      </c>
      <c r="I113" t="s">
        <v>190</v>
      </c>
      <c r="J113" s="2">
        <v>1.2100382768889399</v>
      </c>
      <c r="K113" s="2">
        <v>1.6259273990755601</v>
      </c>
      <c r="L113" s="2">
        <v>2.7924114037884502</v>
      </c>
      <c r="M113" s="2">
        <v>3.7881848226316301</v>
      </c>
    </row>
    <row r="114" spans="1:13" x14ac:dyDescent="0.2">
      <c r="A114" t="s">
        <v>191</v>
      </c>
      <c r="B114">
        <v>2026</v>
      </c>
      <c r="C114">
        <v>2040</v>
      </c>
      <c r="D114">
        <v>2064</v>
      </c>
      <c r="E114">
        <v>2088</v>
      </c>
      <c r="F114" t="s">
        <v>75</v>
      </c>
      <c r="G114" t="s">
        <v>29</v>
      </c>
      <c r="H114" t="s">
        <v>96</v>
      </c>
      <c r="I114" t="s">
        <v>190</v>
      </c>
      <c r="J114" s="2">
        <v>0.346564262662926</v>
      </c>
      <c r="K114" s="2">
        <v>1.4719736355076001</v>
      </c>
      <c r="L114" s="2">
        <v>2.7216420221708799</v>
      </c>
      <c r="M114" s="2">
        <v>4.3475915122485</v>
      </c>
    </row>
    <row r="115" spans="1:13" x14ac:dyDescent="0.2">
      <c r="A115" t="s">
        <v>192</v>
      </c>
      <c r="B115">
        <v>2032</v>
      </c>
      <c r="C115">
        <v>2042</v>
      </c>
      <c r="D115">
        <v>2064</v>
      </c>
      <c r="E115">
        <v>2088</v>
      </c>
      <c r="F115" t="s">
        <v>51</v>
      </c>
      <c r="G115" t="s">
        <v>39</v>
      </c>
      <c r="H115" t="s">
        <v>96</v>
      </c>
      <c r="I115" t="s">
        <v>190</v>
      </c>
      <c r="J115" s="2">
        <v>0.99163072918103101</v>
      </c>
      <c r="K115" s="2">
        <v>1.81025548245351</v>
      </c>
      <c r="L115" s="2">
        <v>2.9524620458955999</v>
      </c>
      <c r="M115" s="2">
        <v>4.4750793546583001</v>
      </c>
    </row>
    <row r="116" spans="1:13" x14ac:dyDescent="0.2">
      <c r="A116" t="s">
        <v>193</v>
      </c>
      <c r="B116">
        <v>2020</v>
      </c>
      <c r="C116">
        <v>2033</v>
      </c>
      <c r="D116">
        <v>2058</v>
      </c>
      <c r="E116">
        <v>2077</v>
      </c>
      <c r="F116" t="s">
        <v>88</v>
      </c>
      <c r="G116" t="s">
        <v>149</v>
      </c>
      <c r="H116" t="s">
        <v>112</v>
      </c>
      <c r="I116" t="s">
        <v>194</v>
      </c>
      <c r="J116" s="2">
        <v>0.38601529090168102</v>
      </c>
      <c r="K116" s="2">
        <v>1.1765928095117699</v>
      </c>
      <c r="L116" s="2">
        <v>2.0447804772332998</v>
      </c>
      <c r="M116" s="2">
        <v>3.34699536413342</v>
      </c>
    </row>
    <row r="117" spans="1:13" x14ac:dyDescent="0.2">
      <c r="A117" t="s">
        <v>195</v>
      </c>
      <c r="B117">
        <v>2033</v>
      </c>
      <c r="C117">
        <v>2046</v>
      </c>
      <c r="D117">
        <v>2067</v>
      </c>
      <c r="E117">
        <v>2084</v>
      </c>
      <c r="F117" t="s">
        <v>149</v>
      </c>
      <c r="G117" t="s">
        <v>81</v>
      </c>
      <c r="H117" t="s">
        <v>123</v>
      </c>
      <c r="I117" t="s">
        <v>137</v>
      </c>
      <c r="J117" s="2">
        <v>0.72322779682271798</v>
      </c>
      <c r="K117" s="2">
        <v>1.2460704672045699</v>
      </c>
      <c r="L117" s="2">
        <v>2.3489683580133098</v>
      </c>
      <c r="M117" s="2">
        <v>3.5346176677093801</v>
      </c>
    </row>
    <row r="118" spans="1:13" x14ac:dyDescent="0.2">
      <c r="A118" t="s">
        <v>196</v>
      </c>
      <c r="B118">
        <v>2037</v>
      </c>
      <c r="C118">
        <v>2053</v>
      </c>
      <c r="D118">
        <v>2073</v>
      </c>
      <c r="E118">
        <v>2090</v>
      </c>
      <c r="F118" t="s">
        <v>84</v>
      </c>
      <c r="G118" t="s">
        <v>117</v>
      </c>
      <c r="H118" t="s">
        <v>162</v>
      </c>
      <c r="I118" t="s">
        <v>115</v>
      </c>
      <c r="J118" s="2">
        <v>1.0889162226890701</v>
      </c>
      <c r="K118" s="2">
        <v>1.5098787136398699</v>
      </c>
      <c r="L118" s="2">
        <v>2.3768814937530802</v>
      </c>
      <c r="M118" s="2">
        <v>3.4516874852262802</v>
      </c>
    </row>
    <row r="119" spans="1:13" x14ac:dyDescent="0.2">
      <c r="A119" t="s">
        <v>197</v>
      </c>
      <c r="B119">
        <v>2009</v>
      </c>
      <c r="C119">
        <v>2020</v>
      </c>
      <c r="D119">
        <v>2040</v>
      </c>
      <c r="E119">
        <v>2057</v>
      </c>
      <c r="F119" t="s">
        <v>198</v>
      </c>
      <c r="G119" t="s">
        <v>88</v>
      </c>
      <c r="H119" t="s">
        <v>29</v>
      </c>
      <c r="I119" t="s">
        <v>67</v>
      </c>
      <c r="J119" s="2">
        <v>0.202890579788851</v>
      </c>
      <c r="K119" s="2">
        <v>0.76098490114573802</v>
      </c>
      <c r="L119" s="2">
        <v>2.1102778682003001</v>
      </c>
      <c r="M119" s="2">
        <v>3.5383904068558998</v>
      </c>
    </row>
    <row r="120" spans="1:13" x14ac:dyDescent="0.2">
      <c r="A120" t="s">
        <v>199</v>
      </c>
      <c r="B120">
        <v>2014</v>
      </c>
      <c r="C120">
        <v>2024</v>
      </c>
      <c r="D120">
        <v>2044</v>
      </c>
      <c r="E120">
        <v>2060</v>
      </c>
      <c r="F120" t="s">
        <v>61</v>
      </c>
      <c r="G120" t="s">
        <v>49</v>
      </c>
      <c r="H120" t="s">
        <v>65</v>
      </c>
      <c r="I120" t="s">
        <v>42</v>
      </c>
      <c r="J120" s="2">
        <v>0.37115174752692598</v>
      </c>
      <c r="K120" s="2">
        <v>1.11234708715366</v>
      </c>
      <c r="L120" s="2">
        <v>2.2924630200421401</v>
      </c>
      <c r="M120" s="2">
        <v>3.8095987673158902</v>
      </c>
    </row>
    <row r="121" spans="1:13" x14ac:dyDescent="0.2">
      <c r="A121" t="s">
        <v>200</v>
      </c>
      <c r="B121">
        <v>2033</v>
      </c>
      <c r="C121">
        <v>2048</v>
      </c>
      <c r="D121">
        <v>2067</v>
      </c>
      <c r="E121">
        <v>2084</v>
      </c>
      <c r="F121" t="s">
        <v>149</v>
      </c>
      <c r="G121" t="s">
        <v>56</v>
      </c>
      <c r="H121" t="s">
        <v>123</v>
      </c>
      <c r="I121" t="s">
        <v>137</v>
      </c>
      <c r="J121" s="2">
        <v>1.4220586325392399</v>
      </c>
      <c r="K121" s="2">
        <v>1.53776042845849</v>
      </c>
      <c r="L121" s="2">
        <v>2.8248943829472699</v>
      </c>
      <c r="M121" s="2">
        <v>3.8343250617251301</v>
      </c>
    </row>
    <row r="122" spans="1:13" x14ac:dyDescent="0.2">
      <c r="A122" t="s">
        <v>201</v>
      </c>
      <c r="B122">
        <v>2029</v>
      </c>
      <c r="C122">
        <v>2046</v>
      </c>
      <c r="D122">
        <v>2067</v>
      </c>
      <c r="E122">
        <v>2088</v>
      </c>
      <c r="F122" t="s">
        <v>78</v>
      </c>
      <c r="G122" t="s">
        <v>81</v>
      </c>
      <c r="H122" t="s">
        <v>123</v>
      </c>
      <c r="I122" t="s">
        <v>190</v>
      </c>
      <c r="J122" s="2">
        <v>1.0612791352887001</v>
      </c>
      <c r="K122" s="2">
        <v>1.4840827612393499</v>
      </c>
      <c r="L122" s="2">
        <v>2.8525701977926001</v>
      </c>
      <c r="M122" s="2">
        <v>3.83858700649672</v>
      </c>
    </row>
    <row r="123" spans="1:13" x14ac:dyDescent="0.2">
      <c r="A123" t="s">
        <v>202</v>
      </c>
      <c r="B123">
        <v>2012</v>
      </c>
      <c r="C123">
        <v>2033</v>
      </c>
      <c r="D123">
        <v>2058</v>
      </c>
      <c r="E123">
        <v>2077</v>
      </c>
      <c r="F123" t="s">
        <v>17</v>
      </c>
      <c r="G123" t="s">
        <v>149</v>
      </c>
      <c r="H123" t="s">
        <v>112</v>
      </c>
      <c r="I123" t="s">
        <v>194</v>
      </c>
      <c r="J123" s="2">
        <v>0.229993847711358</v>
      </c>
      <c r="K123" s="2">
        <v>0.46914110716903901</v>
      </c>
      <c r="L123" s="2">
        <v>1.9347018940080001</v>
      </c>
      <c r="M123" s="2">
        <v>3.3143349761574701</v>
      </c>
    </row>
    <row r="124" spans="1:13" x14ac:dyDescent="0.2">
      <c r="A124" t="s">
        <v>203</v>
      </c>
      <c r="B124">
        <v>2023</v>
      </c>
      <c r="C124">
        <v>2039</v>
      </c>
      <c r="D124">
        <v>2064</v>
      </c>
      <c r="E124">
        <v>2085</v>
      </c>
      <c r="F124" t="s">
        <v>36</v>
      </c>
      <c r="G124" t="s">
        <v>45</v>
      </c>
      <c r="H124" t="s">
        <v>96</v>
      </c>
      <c r="I124" t="s">
        <v>130</v>
      </c>
      <c r="J124" s="2">
        <v>1.12103330826484</v>
      </c>
      <c r="K124" s="2">
        <v>1.8721865885007201</v>
      </c>
      <c r="L124" s="2">
        <v>3.1559047580147599</v>
      </c>
      <c r="M124" s="2">
        <v>4.2247408769433896</v>
      </c>
    </row>
    <row r="125" spans="1:13" x14ac:dyDescent="0.2">
      <c r="A125" t="s">
        <v>204</v>
      </c>
      <c r="B125">
        <v>2022</v>
      </c>
      <c r="C125">
        <v>2037</v>
      </c>
      <c r="D125">
        <v>2065</v>
      </c>
      <c r="F125" t="s">
        <v>44</v>
      </c>
      <c r="G125" t="s">
        <v>84</v>
      </c>
      <c r="H125" t="s">
        <v>182</v>
      </c>
      <c r="J125" s="2">
        <v>0.41052020123180399</v>
      </c>
      <c r="K125" s="2">
        <v>0.88708089550745495</v>
      </c>
      <c r="L125" s="2">
        <v>2.1705614599349499</v>
      </c>
      <c r="M125" s="2"/>
    </row>
    <row r="126" spans="1:13" x14ac:dyDescent="0.2">
      <c r="A126" t="s">
        <v>205</v>
      </c>
      <c r="B126">
        <v>2028</v>
      </c>
      <c r="C126">
        <v>2047</v>
      </c>
      <c r="D126">
        <v>2085</v>
      </c>
      <c r="F126" t="s">
        <v>31</v>
      </c>
      <c r="G126" t="s">
        <v>153</v>
      </c>
      <c r="H126" t="s">
        <v>130</v>
      </c>
      <c r="J126" s="2">
        <v>0.75058315065173797</v>
      </c>
      <c r="K126" s="2">
        <v>1.52213599946765</v>
      </c>
      <c r="L126" s="2">
        <v>2.21875868903268</v>
      </c>
      <c r="M126" s="2"/>
    </row>
    <row r="127" spans="1:13" x14ac:dyDescent="0.2">
      <c r="A127" t="s">
        <v>206</v>
      </c>
      <c r="B127">
        <v>2042</v>
      </c>
      <c r="C127">
        <v>2058</v>
      </c>
      <c r="D127">
        <v>2084</v>
      </c>
      <c r="F127" t="s">
        <v>39</v>
      </c>
      <c r="G127" t="s">
        <v>112</v>
      </c>
      <c r="H127" t="s">
        <v>137</v>
      </c>
      <c r="J127" s="2">
        <v>1.3090789355928001</v>
      </c>
      <c r="K127" s="2">
        <v>2.1313133231627699</v>
      </c>
      <c r="L127" s="2">
        <v>3.0087400281739001</v>
      </c>
      <c r="M127" s="2"/>
    </row>
    <row r="128" spans="1:13" x14ac:dyDescent="0.2">
      <c r="A128" t="s">
        <v>207</v>
      </c>
      <c r="B128">
        <v>2034</v>
      </c>
      <c r="C128">
        <v>2049</v>
      </c>
      <c r="D128">
        <v>2081</v>
      </c>
      <c r="F128" t="s">
        <v>127</v>
      </c>
      <c r="G128" t="s">
        <v>129</v>
      </c>
      <c r="H128" t="s">
        <v>135</v>
      </c>
      <c r="J128" s="2">
        <v>1.00200119926853</v>
      </c>
      <c r="K128" s="2">
        <v>1.81365845520518</v>
      </c>
      <c r="L128" s="2">
        <v>2.5273760401932899</v>
      </c>
      <c r="M128" s="2"/>
    </row>
    <row r="129" spans="1:13" x14ac:dyDescent="0.2">
      <c r="A129" t="s">
        <v>208</v>
      </c>
      <c r="B129">
        <v>2028</v>
      </c>
      <c r="C129">
        <v>2041</v>
      </c>
      <c r="D129">
        <v>2070</v>
      </c>
      <c r="F129" t="s">
        <v>31</v>
      </c>
      <c r="G129" t="s">
        <v>79</v>
      </c>
      <c r="H129" t="s">
        <v>180</v>
      </c>
      <c r="J129" s="2">
        <v>0.76250431838932098</v>
      </c>
      <c r="K129" s="2">
        <v>1.6669499937743699</v>
      </c>
      <c r="L129" s="2">
        <v>2.6335885440636302</v>
      </c>
      <c r="M129" s="2"/>
    </row>
    <row r="130" spans="1:13" x14ac:dyDescent="0.2">
      <c r="A130" t="s">
        <v>209</v>
      </c>
      <c r="B130">
        <v>2033</v>
      </c>
      <c r="C130">
        <v>2052</v>
      </c>
      <c r="D130">
        <v>2089</v>
      </c>
      <c r="F130" t="s">
        <v>149</v>
      </c>
      <c r="G130" t="s">
        <v>210</v>
      </c>
      <c r="H130" t="s">
        <v>132</v>
      </c>
      <c r="J130" s="2">
        <v>0.74640107973206404</v>
      </c>
      <c r="K130" s="2">
        <v>1.2996555876722899</v>
      </c>
      <c r="L130" s="2">
        <v>2.3055320339923799</v>
      </c>
      <c r="M130" s="2"/>
    </row>
    <row r="131" spans="1:13" x14ac:dyDescent="0.2">
      <c r="A131" t="s">
        <v>211</v>
      </c>
      <c r="B131">
        <v>2036</v>
      </c>
      <c r="C131">
        <v>2053</v>
      </c>
      <c r="D131">
        <v>2084</v>
      </c>
      <c r="F131" t="s">
        <v>111</v>
      </c>
      <c r="G131" t="s">
        <v>117</v>
      </c>
      <c r="H131" t="s">
        <v>137</v>
      </c>
      <c r="J131" s="2">
        <v>1.0041626078828101</v>
      </c>
      <c r="K131" s="2">
        <v>1.62021215737234</v>
      </c>
      <c r="L131" s="2">
        <v>2.8297057592542201</v>
      </c>
      <c r="M131" s="2"/>
    </row>
    <row r="132" spans="1:13" x14ac:dyDescent="0.2">
      <c r="A132" t="s">
        <v>212</v>
      </c>
      <c r="B132">
        <v>2033</v>
      </c>
      <c r="C132">
        <v>2051</v>
      </c>
      <c r="D132">
        <v>2085</v>
      </c>
      <c r="F132" t="s">
        <v>149</v>
      </c>
      <c r="G132" t="s">
        <v>37</v>
      </c>
      <c r="H132" t="s">
        <v>130</v>
      </c>
      <c r="J132" s="2">
        <v>1.2470602357321301</v>
      </c>
      <c r="K132" s="2">
        <v>1.9810279355823901</v>
      </c>
      <c r="L132" s="2">
        <v>3.20905435545248</v>
      </c>
      <c r="M132" s="2"/>
    </row>
    <row r="133" spans="1:13" x14ac:dyDescent="0.2">
      <c r="A133" t="s">
        <v>213</v>
      </c>
      <c r="B133">
        <v>2012</v>
      </c>
      <c r="C133">
        <v>2031</v>
      </c>
      <c r="D133">
        <v>2059</v>
      </c>
      <c r="E133">
        <v>2080</v>
      </c>
      <c r="F133" t="s">
        <v>17</v>
      </c>
      <c r="G133" t="s">
        <v>27</v>
      </c>
      <c r="H133" t="s">
        <v>214</v>
      </c>
      <c r="I133" t="s">
        <v>215</v>
      </c>
      <c r="J133" s="2">
        <v>0.27766570000000002</v>
      </c>
      <c r="K133" s="2">
        <v>0.94915620000000001</v>
      </c>
      <c r="L133" s="2">
        <v>1.9968735</v>
      </c>
      <c r="M133" s="2">
        <v>3.2638579999999999</v>
      </c>
    </row>
    <row r="134" spans="1:13" x14ac:dyDescent="0.2">
      <c r="A134" t="s">
        <v>216</v>
      </c>
      <c r="B134">
        <v>2020</v>
      </c>
      <c r="C134">
        <v>2035</v>
      </c>
      <c r="D134">
        <v>2056</v>
      </c>
      <c r="E134">
        <v>2077</v>
      </c>
      <c r="F134" t="s">
        <v>88</v>
      </c>
      <c r="G134" t="s">
        <v>71</v>
      </c>
      <c r="H134" t="s">
        <v>114</v>
      </c>
      <c r="I134" t="s">
        <v>194</v>
      </c>
      <c r="J134" s="2">
        <v>0.72077789999999997</v>
      </c>
      <c r="K134" s="2">
        <v>1.3950653</v>
      </c>
      <c r="L134" s="2">
        <v>2.3296342000000001</v>
      </c>
      <c r="M134" s="2">
        <v>3.4568650000000001</v>
      </c>
    </row>
    <row r="135" spans="1:13" x14ac:dyDescent="0.2">
      <c r="A135" t="s">
        <v>217</v>
      </c>
      <c r="B135">
        <v>2015</v>
      </c>
      <c r="C135">
        <v>2025</v>
      </c>
      <c r="D135">
        <v>2047</v>
      </c>
      <c r="E135">
        <v>2073</v>
      </c>
      <c r="F135" t="s">
        <v>90</v>
      </c>
      <c r="G135" t="s">
        <v>13</v>
      </c>
      <c r="H135" t="s">
        <v>153</v>
      </c>
      <c r="I135" t="s">
        <v>162</v>
      </c>
      <c r="J135" s="2">
        <v>0.41599981861270402</v>
      </c>
      <c r="K135" s="2">
        <v>1.5483865851323999</v>
      </c>
      <c r="L135" s="2">
        <v>3.0145438586213098</v>
      </c>
      <c r="M135" s="2">
        <v>4.3923768455858099</v>
      </c>
    </row>
    <row r="136" spans="1:13" x14ac:dyDescent="0.2">
      <c r="A136" t="s">
        <v>218</v>
      </c>
      <c r="B136">
        <v>2025</v>
      </c>
      <c r="C136">
        <v>2042</v>
      </c>
      <c r="D136">
        <v>2071</v>
      </c>
      <c r="F136" t="s">
        <v>13</v>
      </c>
      <c r="G136" t="s">
        <v>39</v>
      </c>
      <c r="H136" t="s">
        <v>219</v>
      </c>
      <c r="J136" s="2">
        <v>0.89650870429149099</v>
      </c>
      <c r="K136" s="2">
        <v>1.7644701427884</v>
      </c>
      <c r="L136" s="2">
        <v>2.4212512758043401</v>
      </c>
      <c r="M136" s="2"/>
    </row>
    <row r="137" spans="1:13" x14ac:dyDescent="0.2">
      <c r="A137" t="s">
        <v>220</v>
      </c>
      <c r="B137">
        <v>2040</v>
      </c>
      <c r="C137">
        <v>2056</v>
      </c>
      <c r="D137">
        <v>2085</v>
      </c>
      <c r="F137" t="s">
        <v>29</v>
      </c>
      <c r="G137" t="s">
        <v>114</v>
      </c>
      <c r="H137" t="s">
        <v>130</v>
      </c>
      <c r="J137" s="2">
        <v>1.72950254369662</v>
      </c>
      <c r="K137" s="2">
        <v>2.2685610170717099</v>
      </c>
      <c r="L137" s="2">
        <v>3.4698040573684898</v>
      </c>
      <c r="M137" s="2"/>
    </row>
    <row r="138" spans="1:13" x14ac:dyDescent="0.2">
      <c r="A138" t="s">
        <v>221</v>
      </c>
      <c r="B138">
        <v>2044</v>
      </c>
      <c r="C138">
        <v>2060</v>
      </c>
      <c r="F138" t="s">
        <v>65</v>
      </c>
      <c r="G138" t="s">
        <v>42</v>
      </c>
      <c r="J138" s="2">
        <v>1.3990323856893401</v>
      </c>
      <c r="K138" s="2">
        <v>2.2215974851091702</v>
      </c>
      <c r="L138" s="2"/>
      <c r="M138" s="2"/>
    </row>
    <row r="139" spans="1:13" x14ac:dyDescent="0.2">
      <c r="A139" t="s">
        <v>222</v>
      </c>
      <c r="B139">
        <v>2043</v>
      </c>
      <c r="F139" t="s">
        <v>32</v>
      </c>
      <c r="J139" s="2">
        <v>1.4871546851264099</v>
      </c>
      <c r="K139" s="2"/>
      <c r="L139" s="2"/>
      <c r="M139" s="2"/>
    </row>
    <row r="140" spans="1:13" x14ac:dyDescent="0.2">
      <c r="A140" t="s">
        <v>223</v>
      </c>
      <c r="B140">
        <v>2035</v>
      </c>
      <c r="C140">
        <v>2051</v>
      </c>
      <c r="D140">
        <v>2082</v>
      </c>
      <c r="F140" t="s">
        <v>71</v>
      </c>
      <c r="G140" t="s">
        <v>37</v>
      </c>
      <c r="H140" t="s">
        <v>224</v>
      </c>
      <c r="J140" s="2">
        <v>0.69074969337838099</v>
      </c>
      <c r="K140" s="2">
        <v>1.39156253824092</v>
      </c>
      <c r="L140" s="2">
        <v>2.76461721959198</v>
      </c>
      <c r="M140" s="2"/>
    </row>
    <row r="141" spans="1:13" x14ac:dyDescent="0.2">
      <c r="A141" t="s">
        <v>225</v>
      </c>
      <c r="B141">
        <v>2036</v>
      </c>
      <c r="C141">
        <v>2053</v>
      </c>
      <c r="D141">
        <v>2079</v>
      </c>
      <c r="F141" t="s">
        <v>111</v>
      </c>
      <c r="G141" t="s">
        <v>117</v>
      </c>
      <c r="H141" t="s">
        <v>86</v>
      </c>
      <c r="J141" s="2">
        <v>1.03263401455353</v>
      </c>
      <c r="K141" s="2">
        <v>1.7833052741157001</v>
      </c>
      <c r="L141" s="2">
        <v>3.0094896104601001</v>
      </c>
      <c r="M141" s="2"/>
    </row>
    <row r="142" spans="1:13" x14ac:dyDescent="0.2">
      <c r="A142" t="s">
        <v>226</v>
      </c>
      <c r="B142">
        <v>2032</v>
      </c>
      <c r="C142">
        <v>2046</v>
      </c>
      <c r="D142">
        <v>2074</v>
      </c>
      <c r="F142" t="s">
        <v>51</v>
      </c>
      <c r="G142" t="s">
        <v>81</v>
      </c>
      <c r="H142" t="s">
        <v>34</v>
      </c>
      <c r="J142" s="2">
        <v>0.97845960011742905</v>
      </c>
      <c r="K142" s="2">
        <v>1.3712004236034101</v>
      </c>
      <c r="L142" s="2">
        <v>2.2740586286362601</v>
      </c>
      <c r="M142" s="2"/>
    </row>
    <row r="143" spans="1:13" x14ac:dyDescent="0.2">
      <c r="A143" t="s">
        <v>227</v>
      </c>
      <c r="B143">
        <v>2052</v>
      </c>
      <c r="C143">
        <v>2070</v>
      </c>
      <c r="F143" t="s">
        <v>210</v>
      </c>
      <c r="G143" t="s">
        <v>180</v>
      </c>
      <c r="J143" s="2">
        <v>1.47873513963486</v>
      </c>
      <c r="K143" s="2">
        <v>2.1390993330213699</v>
      </c>
      <c r="L143" s="2"/>
      <c r="M143" s="2"/>
    </row>
    <row r="144" spans="1:13" x14ac:dyDescent="0.2">
      <c r="A144" t="s">
        <v>228</v>
      </c>
      <c r="B144">
        <v>2047</v>
      </c>
      <c r="C144">
        <v>2063</v>
      </c>
      <c r="D144">
        <v>2091</v>
      </c>
      <c r="F144" t="s">
        <v>153</v>
      </c>
      <c r="G144" t="s">
        <v>93</v>
      </c>
      <c r="H144" t="s">
        <v>141</v>
      </c>
      <c r="J144" s="2">
        <v>1.3241218433558199</v>
      </c>
      <c r="K144" s="2">
        <v>2.21944365083219</v>
      </c>
      <c r="L144" s="2">
        <v>3.6687247613706999</v>
      </c>
      <c r="M144" s="2"/>
    </row>
    <row r="145" spans="1:13" x14ac:dyDescent="0.2">
      <c r="A145" t="s">
        <v>229</v>
      </c>
      <c r="B145">
        <v>2034</v>
      </c>
      <c r="C145">
        <v>2044</v>
      </c>
      <c r="D145">
        <v>2062</v>
      </c>
      <c r="E145">
        <v>2082</v>
      </c>
      <c r="F145" t="s">
        <v>127</v>
      </c>
      <c r="G145" t="s">
        <v>65</v>
      </c>
      <c r="H145" t="s">
        <v>158</v>
      </c>
      <c r="I145" t="s">
        <v>224</v>
      </c>
      <c r="J145" s="2">
        <v>1.23388532847665</v>
      </c>
      <c r="K145" s="2">
        <v>1.8435287162277001</v>
      </c>
      <c r="L145" s="2">
        <v>3.07563601706953</v>
      </c>
      <c r="M145" s="2">
        <v>4.1189346670404996</v>
      </c>
    </row>
    <row r="146" spans="1:13" x14ac:dyDescent="0.2">
      <c r="A146" t="s">
        <v>230</v>
      </c>
      <c r="B146">
        <v>2023</v>
      </c>
      <c r="C146">
        <v>2032</v>
      </c>
      <c r="D146">
        <v>2051</v>
      </c>
      <c r="E146">
        <v>2070</v>
      </c>
      <c r="F146" t="s">
        <v>36</v>
      </c>
      <c r="G146" t="s">
        <v>51</v>
      </c>
      <c r="H146" t="s">
        <v>37</v>
      </c>
      <c r="I146" t="s">
        <v>180</v>
      </c>
      <c r="J146" s="2">
        <v>1.1649437666912701</v>
      </c>
      <c r="K146" s="2">
        <v>1.8786410232094399</v>
      </c>
      <c r="L146" s="2">
        <v>3.3763291278971299</v>
      </c>
      <c r="M146" s="2">
        <v>4.9544220079772296</v>
      </c>
    </row>
    <row r="147" spans="1:13" x14ac:dyDescent="0.2">
      <c r="A147" t="s">
        <v>231</v>
      </c>
      <c r="B147">
        <v>2026</v>
      </c>
      <c r="C147">
        <v>2039</v>
      </c>
      <c r="D147">
        <v>2056</v>
      </c>
      <c r="E147">
        <v>2072</v>
      </c>
      <c r="F147" t="s">
        <v>75</v>
      </c>
      <c r="G147" t="s">
        <v>45</v>
      </c>
      <c r="H147" t="s">
        <v>114</v>
      </c>
      <c r="I147" t="s">
        <v>107</v>
      </c>
      <c r="J147" s="2">
        <v>1.05353362048795</v>
      </c>
      <c r="K147" s="2">
        <v>1.78892558258457</v>
      </c>
      <c r="L147" s="2">
        <v>2.9488206671368999</v>
      </c>
      <c r="M147" s="2">
        <v>4.1961367220074202</v>
      </c>
    </row>
    <row r="148" spans="1:13" x14ac:dyDescent="0.2">
      <c r="A148" t="s">
        <v>232</v>
      </c>
      <c r="B148">
        <v>2028</v>
      </c>
      <c r="C148">
        <v>2040</v>
      </c>
      <c r="D148">
        <v>2061</v>
      </c>
      <c r="E148">
        <v>2079</v>
      </c>
      <c r="F148" t="s">
        <v>31</v>
      </c>
      <c r="G148" t="s">
        <v>29</v>
      </c>
      <c r="H148" t="s">
        <v>233</v>
      </c>
      <c r="I148" t="s">
        <v>86</v>
      </c>
      <c r="J148" s="2">
        <v>1.19542765854564</v>
      </c>
      <c r="K148" s="2">
        <v>2.2690418056658701</v>
      </c>
      <c r="L148" s="2">
        <v>3.13938689571772</v>
      </c>
      <c r="M148" s="2">
        <v>4.47389644739759</v>
      </c>
    </row>
    <row r="149" spans="1:13" x14ac:dyDescent="0.2">
      <c r="A149" t="s">
        <v>234</v>
      </c>
      <c r="B149">
        <v>2020</v>
      </c>
      <c r="C149">
        <v>2037</v>
      </c>
      <c r="D149">
        <v>2060</v>
      </c>
      <c r="E149">
        <v>2080</v>
      </c>
      <c r="F149" t="s">
        <v>88</v>
      </c>
      <c r="G149" t="s">
        <v>84</v>
      </c>
      <c r="H149" t="s">
        <v>42</v>
      </c>
      <c r="I149" t="s">
        <v>215</v>
      </c>
      <c r="J149" s="2">
        <v>0.67988835427031802</v>
      </c>
      <c r="K149" s="2">
        <v>1.48913864056699</v>
      </c>
      <c r="L149" s="2">
        <v>2.9588608248527701</v>
      </c>
      <c r="M149" s="2">
        <v>4.4539320172053101</v>
      </c>
    </row>
    <row r="150" spans="1:13" x14ac:dyDescent="0.2">
      <c r="A150" t="s">
        <v>235</v>
      </c>
      <c r="B150">
        <v>2031</v>
      </c>
      <c r="C150">
        <v>2044</v>
      </c>
      <c r="D150">
        <v>2066</v>
      </c>
      <c r="F150" t="s">
        <v>27</v>
      </c>
      <c r="G150" t="s">
        <v>65</v>
      </c>
      <c r="H150" t="s">
        <v>125</v>
      </c>
      <c r="J150" s="2">
        <v>1.10620723221233</v>
      </c>
      <c r="K150" s="2">
        <v>1.9836362436988699</v>
      </c>
      <c r="L150" s="2">
        <v>3.30951525175441</v>
      </c>
      <c r="M150" s="2"/>
    </row>
    <row r="151" spans="1:13" x14ac:dyDescent="0.2">
      <c r="A151" t="s">
        <v>236</v>
      </c>
      <c r="B151">
        <v>2048</v>
      </c>
      <c r="C151">
        <v>2065</v>
      </c>
      <c r="D151">
        <v>2089</v>
      </c>
      <c r="F151" t="s">
        <v>56</v>
      </c>
      <c r="G151" t="s">
        <v>182</v>
      </c>
      <c r="H151" t="s">
        <v>132</v>
      </c>
      <c r="J151" s="2">
        <v>1.2472971032665201</v>
      </c>
      <c r="K151" s="2">
        <v>1.96167780199234</v>
      </c>
      <c r="L151" s="2">
        <v>2.9504145044591001</v>
      </c>
      <c r="M151" s="2"/>
    </row>
    <row r="152" spans="1:13" x14ac:dyDescent="0.2">
      <c r="A152" t="s">
        <v>237</v>
      </c>
      <c r="B152">
        <v>2034</v>
      </c>
      <c r="C152">
        <v>2046</v>
      </c>
      <c r="D152">
        <v>2063</v>
      </c>
      <c r="E152">
        <v>2078</v>
      </c>
      <c r="F152" t="s">
        <v>127</v>
      </c>
      <c r="G152" t="s">
        <v>81</v>
      </c>
      <c r="H152" t="s">
        <v>93</v>
      </c>
      <c r="I152" t="s">
        <v>238</v>
      </c>
      <c r="J152" s="2">
        <v>2.11162266155864</v>
      </c>
      <c r="K152" s="2">
        <v>2.81238598575744</v>
      </c>
      <c r="L152" s="2">
        <v>4.0911636952485004</v>
      </c>
      <c r="M152" s="2">
        <v>5.2788090141995996</v>
      </c>
    </row>
    <row r="153" spans="1:13" x14ac:dyDescent="0.2">
      <c r="A153" t="s">
        <v>239</v>
      </c>
      <c r="B153">
        <v>2021</v>
      </c>
      <c r="C153">
        <v>2034</v>
      </c>
      <c r="D153">
        <v>2054</v>
      </c>
      <c r="E153">
        <v>2069</v>
      </c>
      <c r="F153" t="s">
        <v>59</v>
      </c>
      <c r="G153" t="s">
        <v>127</v>
      </c>
      <c r="H153" t="s">
        <v>240</v>
      </c>
      <c r="I153" t="s">
        <v>176</v>
      </c>
      <c r="J153" s="2">
        <v>0.72109062265956803</v>
      </c>
      <c r="K153" s="2">
        <v>1.34813085074401</v>
      </c>
      <c r="L153" s="2">
        <v>2.52577581390018</v>
      </c>
      <c r="M153" s="2">
        <v>3.4970807508527399</v>
      </c>
    </row>
    <row r="154" spans="1:13" x14ac:dyDescent="0.2">
      <c r="A154" t="s">
        <v>241</v>
      </c>
      <c r="B154">
        <v>2024</v>
      </c>
      <c r="C154">
        <v>2035</v>
      </c>
      <c r="D154">
        <v>2055</v>
      </c>
      <c r="E154">
        <v>2072</v>
      </c>
      <c r="F154" t="s">
        <v>49</v>
      </c>
      <c r="G154" t="s">
        <v>71</v>
      </c>
      <c r="H154" t="s">
        <v>155</v>
      </c>
      <c r="I154" t="s">
        <v>107</v>
      </c>
      <c r="J154" s="2">
        <v>1.02995058901221</v>
      </c>
      <c r="K154" s="2">
        <v>1.88436164142659</v>
      </c>
      <c r="L154" s="2">
        <v>2.5733287783551901</v>
      </c>
      <c r="M154" s="2">
        <v>3.7800196244622302</v>
      </c>
    </row>
    <row r="155" spans="1:13" x14ac:dyDescent="0.2">
      <c r="A155" t="s">
        <v>242</v>
      </c>
      <c r="B155">
        <v>2022</v>
      </c>
      <c r="C155">
        <v>2034</v>
      </c>
      <c r="D155">
        <v>2053</v>
      </c>
      <c r="E155">
        <v>2070</v>
      </c>
      <c r="F155" t="s">
        <v>44</v>
      </c>
      <c r="G155" t="s">
        <v>127</v>
      </c>
      <c r="H155" t="s">
        <v>117</v>
      </c>
      <c r="I155" t="s">
        <v>180</v>
      </c>
      <c r="J155" s="2">
        <v>0.186778128455625</v>
      </c>
      <c r="K155" s="2">
        <v>1.17495438004889</v>
      </c>
      <c r="L155" s="2">
        <v>2.6230638198141998</v>
      </c>
      <c r="M155" s="2">
        <v>4.0812629963059299</v>
      </c>
    </row>
    <row r="156" spans="1:13" x14ac:dyDescent="0.2">
      <c r="A156" t="s">
        <v>243</v>
      </c>
      <c r="B156">
        <v>2030</v>
      </c>
      <c r="C156">
        <v>2040</v>
      </c>
      <c r="D156">
        <v>2056</v>
      </c>
      <c r="E156">
        <v>2071</v>
      </c>
      <c r="F156" t="s">
        <v>15</v>
      </c>
      <c r="G156" t="s">
        <v>29</v>
      </c>
      <c r="H156" t="s">
        <v>114</v>
      </c>
      <c r="I156" t="s">
        <v>219</v>
      </c>
      <c r="J156" s="2">
        <v>1.0791283155598099</v>
      </c>
      <c r="K156" s="2">
        <v>1.7545444641866701</v>
      </c>
      <c r="L156" s="2">
        <v>3.1629260176280298</v>
      </c>
      <c r="M156" s="2">
        <v>4.1925361663952501</v>
      </c>
    </row>
    <row r="157" spans="1:13" x14ac:dyDescent="0.2">
      <c r="A157" t="s">
        <v>244</v>
      </c>
      <c r="B157">
        <v>2019</v>
      </c>
      <c r="C157">
        <v>2030</v>
      </c>
      <c r="D157">
        <v>2052</v>
      </c>
      <c r="E157">
        <v>2067</v>
      </c>
      <c r="F157" t="s">
        <v>21</v>
      </c>
      <c r="G157" t="s">
        <v>15</v>
      </c>
      <c r="H157" t="s">
        <v>210</v>
      </c>
      <c r="I157" t="s">
        <v>123</v>
      </c>
      <c r="J157" s="2">
        <v>0.70134988166900303</v>
      </c>
      <c r="K157" s="2">
        <v>0.998950885644035</v>
      </c>
      <c r="L157" s="2">
        <v>2.7606360962669898</v>
      </c>
      <c r="M157" s="2">
        <v>3.5059260879304599</v>
      </c>
    </row>
    <row r="158" spans="1:13" x14ac:dyDescent="0.2">
      <c r="A158" t="s">
        <v>245</v>
      </c>
      <c r="B158">
        <v>2029</v>
      </c>
      <c r="C158">
        <v>2041</v>
      </c>
      <c r="D158">
        <v>2059</v>
      </c>
      <c r="E158">
        <v>2073</v>
      </c>
      <c r="F158" t="s">
        <v>78</v>
      </c>
      <c r="G158" t="s">
        <v>79</v>
      </c>
      <c r="H158" t="s">
        <v>214</v>
      </c>
      <c r="I158" t="s">
        <v>162</v>
      </c>
      <c r="J158" s="2">
        <v>0.96419402225133399</v>
      </c>
      <c r="K158" s="2">
        <v>1.3750644292338701</v>
      </c>
      <c r="L158" s="2">
        <v>2.56942141305246</v>
      </c>
      <c r="M158" s="2">
        <v>3.6274086208958898</v>
      </c>
    </row>
    <row r="159" spans="1:13" x14ac:dyDescent="0.2">
      <c r="A159" t="s">
        <v>246</v>
      </c>
      <c r="B159">
        <v>2033</v>
      </c>
      <c r="C159">
        <v>2046</v>
      </c>
      <c r="D159">
        <v>2065</v>
      </c>
      <c r="E159">
        <v>2080</v>
      </c>
      <c r="F159" t="s">
        <v>149</v>
      </c>
      <c r="G159" t="s">
        <v>81</v>
      </c>
      <c r="H159" t="s">
        <v>182</v>
      </c>
      <c r="I159" t="s">
        <v>215</v>
      </c>
      <c r="J159" s="2">
        <v>0.927327085447328</v>
      </c>
      <c r="K159" s="2">
        <v>1.2407121850351801</v>
      </c>
      <c r="L159" s="2">
        <v>2.2162319815166902</v>
      </c>
      <c r="M159" s="2">
        <v>3.53995507543743</v>
      </c>
    </row>
    <row r="160" spans="1:13" x14ac:dyDescent="0.2">
      <c r="A160" t="s">
        <v>247</v>
      </c>
      <c r="B160">
        <v>2009</v>
      </c>
      <c r="C160">
        <v>2020</v>
      </c>
      <c r="D160">
        <v>2038</v>
      </c>
      <c r="E160">
        <v>2054</v>
      </c>
      <c r="F160" t="s">
        <v>198</v>
      </c>
      <c r="G160" t="s">
        <v>88</v>
      </c>
      <c r="H160" t="s">
        <v>22</v>
      </c>
      <c r="I160" t="s">
        <v>240</v>
      </c>
      <c r="J160" s="2">
        <v>0.177779995953596</v>
      </c>
      <c r="K160" s="2">
        <v>0.87309575963903396</v>
      </c>
      <c r="L160" s="2">
        <v>2.0574873323793699</v>
      </c>
      <c r="M160" s="2">
        <v>3.3368688512731399</v>
      </c>
    </row>
    <row r="161" spans="1:13" x14ac:dyDescent="0.2">
      <c r="A161" t="s">
        <v>248</v>
      </c>
      <c r="B161">
        <v>2013</v>
      </c>
      <c r="C161">
        <v>2023</v>
      </c>
      <c r="D161">
        <v>2041</v>
      </c>
      <c r="E161">
        <v>2055</v>
      </c>
      <c r="F161" t="s">
        <v>12</v>
      </c>
      <c r="G161" t="s">
        <v>36</v>
      </c>
      <c r="H161" t="s">
        <v>79</v>
      </c>
      <c r="I161" t="s">
        <v>155</v>
      </c>
      <c r="J161" s="2">
        <v>0.40323407208475398</v>
      </c>
      <c r="K161" s="2">
        <v>0.99704027529113504</v>
      </c>
      <c r="L161" s="2">
        <v>2.3371529190628499</v>
      </c>
      <c r="M161" s="2">
        <v>3.47663613778573</v>
      </c>
    </row>
    <row r="162" spans="1:13" x14ac:dyDescent="0.2">
      <c r="A162" t="s">
        <v>249</v>
      </c>
      <c r="B162">
        <v>2008</v>
      </c>
      <c r="C162">
        <v>2037</v>
      </c>
      <c r="D162">
        <v>2057</v>
      </c>
      <c r="E162">
        <v>2072</v>
      </c>
      <c r="F162" t="s">
        <v>139</v>
      </c>
      <c r="G162" t="s">
        <v>84</v>
      </c>
      <c r="H162" t="s">
        <v>67</v>
      </c>
      <c r="I162" t="s">
        <v>107</v>
      </c>
      <c r="J162" s="2">
        <v>0.12685507564118501</v>
      </c>
      <c r="K162" s="2">
        <v>0.46484814321711099</v>
      </c>
      <c r="L162" s="2">
        <v>1.96284249367359</v>
      </c>
      <c r="M162" s="2">
        <v>3.4377059494892301</v>
      </c>
    </row>
    <row r="163" spans="1:13" x14ac:dyDescent="0.2">
      <c r="A163" t="s">
        <v>250</v>
      </c>
      <c r="B163">
        <v>2029</v>
      </c>
      <c r="C163">
        <v>2042</v>
      </c>
      <c r="D163">
        <v>2062</v>
      </c>
      <c r="E163">
        <v>2076</v>
      </c>
      <c r="F163" t="s">
        <v>78</v>
      </c>
      <c r="G163" t="s">
        <v>39</v>
      </c>
      <c r="H163" t="s">
        <v>158</v>
      </c>
      <c r="I163" t="s">
        <v>120</v>
      </c>
      <c r="J163" s="2">
        <v>0.81590076899514596</v>
      </c>
      <c r="K163" s="2">
        <v>1.34415263751711</v>
      </c>
      <c r="L163" s="2">
        <v>2.2884740265108801</v>
      </c>
      <c r="M163" s="2">
        <v>3.7530925601032998</v>
      </c>
    </row>
    <row r="164" spans="1:13" x14ac:dyDescent="0.2">
      <c r="A164" t="s">
        <v>251</v>
      </c>
      <c r="B164">
        <v>2012</v>
      </c>
      <c r="C164">
        <v>2028</v>
      </c>
      <c r="D164">
        <v>2051</v>
      </c>
      <c r="E164">
        <v>2068</v>
      </c>
      <c r="F164" t="s">
        <v>17</v>
      </c>
      <c r="G164" t="s">
        <v>31</v>
      </c>
      <c r="H164" t="s">
        <v>37</v>
      </c>
      <c r="I164" t="s">
        <v>10</v>
      </c>
      <c r="J164" s="2">
        <v>0.181014825743019</v>
      </c>
      <c r="K164" s="2">
        <v>0.669885198271848</v>
      </c>
      <c r="L164" s="2">
        <v>2.3451895347564999</v>
      </c>
      <c r="M164" s="2">
        <v>3.4725734880079302</v>
      </c>
    </row>
    <row r="165" spans="1:13" x14ac:dyDescent="0.2">
      <c r="A165" t="s">
        <v>252</v>
      </c>
      <c r="B165">
        <v>2025</v>
      </c>
      <c r="C165">
        <v>2036</v>
      </c>
      <c r="D165">
        <v>2058</v>
      </c>
      <c r="E165">
        <v>2074</v>
      </c>
      <c r="F165" t="s">
        <v>13</v>
      </c>
      <c r="G165" t="s">
        <v>111</v>
      </c>
      <c r="H165" t="s">
        <v>112</v>
      </c>
      <c r="I165" t="s">
        <v>34</v>
      </c>
      <c r="J165" s="2">
        <v>1.22589725809122</v>
      </c>
      <c r="K165" s="2">
        <v>1.9896633895682401</v>
      </c>
      <c r="L165" s="2">
        <v>3.1859601432453899</v>
      </c>
      <c r="M165" s="2">
        <v>4.4512918120014202</v>
      </c>
    </row>
    <row r="166" spans="1:13" x14ac:dyDescent="0.2">
      <c r="A166" t="s">
        <v>253</v>
      </c>
      <c r="B166">
        <v>2022</v>
      </c>
      <c r="C166">
        <v>2037</v>
      </c>
      <c r="D166">
        <v>2060</v>
      </c>
      <c r="E166">
        <v>2079</v>
      </c>
      <c r="F166" t="s">
        <v>44</v>
      </c>
      <c r="G166" t="s">
        <v>84</v>
      </c>
      <c r="H166" t="s">
        <v>42</v>
      </c>
      <c r="I166" t="s">
        <v>86</v>
      </c>
      <c r="J166" s="2">
        <v>0.22448056531223101</v>
      </c>
      <c r="K166" s="2">
        <v>0.78744383214671798</v>
      </c>
      <c r="L166" s="2">
        <v>2.28350531650013</v>
      </c>
      <c r="M166" s="2">
        <v>3.69565513740076</v>
      </c>
    </row>
    <row r="167" spans="1:13" x14ac:dyDescent="0.2">
      <c r="A167" t="s">
        <v>254</v>
      </c>
      <c r="B167">
        <v>2030</v>
      </c>
      <c r="C167">
        <v>2048</v>
      </c>
      <c r="D167">
        <v>2075</v>
      </c>
      <c r="F167" t="s">
        <v>15</v>
      </c>
      <c r="G167" t="s">
        <v>56</v>
      </c>
      <c r="H167" t="s">
        <v>184</v>
      </c>
      <c r="J167" s="2">
        <v>0.89421098497179197</v>
      </c>
      <c r="K167" s="2">
        <v>1.54037409888374</v>
      </c>
      <c r="L167" s="2">
        <v>2.2516428417629699</v>
      </c>
      <c r="M167" s="2"/>
    </row>
    <row r="168" spans="1:13" x14ac:dyDescent="0.2">
      <c r="A168" t="s">
        <v>255</v>
      </c>
      <c r="B168">
        <v>2017</v>
      </c>
      <c r="C168">
        <v>2031</v>
      </c>
      <c r="D168">
        <v>2054</v>
      </c>
      <c r="E168">
        <v>2071</v>
      </c>
      <c r="F168" t="s">
        <v>70</v>
      </c>
      <c r="G168" t="s">
        <v>27</v>
      </c>
      <c r="H168" t="s">
        <v>240</v>
      </c>
      <c r="I168" t="s">
        <v>219</v>
      </c>
      <c r="J168" s="2">
        <v>0.45074994784345601</v>
      </c>
      <c r="K168" s="2">
        <v>0.91926323324982195</v>
      </c>
      <c r="L168" s="2">
        <v>2.2735940540920399</v>
      </c>
      <c r="M168" s="2">
        <v>3.3073621616496598</v>
      </c>
    </row>
    <row r="169" spans="1:13" x14ac:dyDescent="0.2">
      <c r="A169" t="s">
        <v>256</v>
      </c>
      <c r="B169">
        <v>2030</v>
      </c>
      <c r="C169">
        <v>2042</v>
      </c>
      <c r="D169">
        <v>2060</v>
      </c>
      <c r="E169">
        <v>2080</v>
      </c>
      <c r="F169" t="s">
        <v>15</v>
      </c>
      <c r="G169" t="s">
        <v>39</v>
      </c>
      <c r="H169" t="s">
        <v>42</v>
      </c>
      <c r="I169" t="s">
        <v>215</v>
      </c>
      <c r="J169" s="2">
        <v>1.14807129358736</v>
      </c>
      <c r="K169" s="2">
        <v>1.92835522339452</v>
      </c>
      <c r="L169" s="2">
        <v>3.00087035879264</v>
      </c>
      <c r="M169" s="2">
        <v>4.4327790092828199</v>
      </c>
    </row>
    <row r="170" spans="1:13" x14ac:dyDescent="0.2">
      <c r="A170" t="s">
        <v>257</v>
      </c>
      <c r="B170">
        <v>2030</v>
      </c>
      <c r="C170">
        <v>2042</v>
      </c>
      <c r="D170">
        <v>2060</v>
      </c>
      <c r="E170">
        <v>2080</v>
      </c>
      <c r="F170" t="s">
        <v>15</v>
      </c>
      <c r="G170" t="s">
        <v>39</v>
      </c>
      <c r="H170" t="s">
        <v>42</v>
      </c>
      <c r="I170" t="s">
        <v>215</v>
      </c>
      <c r="J170" s="2">
        <v>1.1304126238699299</v>
      </c>
      <c r="K170" s="2">
        <v>1.9069431740552201</v>
      </c>
      <c r="L170" s="2">
        <v>2.9731055991778002</v>
      </c>
      <c r="M170" s="2">
        <v>4.3885902773160099</v>
      </c>
    </row>
    <row r="171" spans="1:13" x14ac:dyDescent="0.2">
      <c r="A171" t="s">
        <v>258</v>
      </c>
      <c r="B171">
        <v>2040</v>
      </c>
      <c r="C171">
        <v>2053</v>
      </c>
      <c r="D171">
        <v>2076</v>
      </c>
      <c r="F171" t="s">
        <v>29</v>
      </c>
      <c r="G171" t="s">
        <v>117</v>
      </c>
      <c r="H171" t="s">
        <v>120</v>
      </c>
      <c r="J171" s="2">
        <v>1.2474906171925899</v>
      </c>
      <c r="K171" s="2">
        <v>2.1279320565597999</v>
      </c>
      <c r="L171" s="2">
        <v>3.04848111038363</v>
      </c>
      <c r="M171" s="2"/>
    </row>
    <row r="172" spans="1:13" x14ac:dyDescent="0.2">
      <c r="A172" t="s">
        <v>259</v>
      </c>
      <c r="B172">
        <v>2031</v>
      </c>
      <c r="C172">
        <v>2044</v>
      </c>
      <c r="D172">
        <v>2066</v>
      </c>
      <c r="E172">
        <v>2091</v>
      </c>
      <c r="F172" t="s">
        <v>27</v>
      </c>
      <c r="G172" t="s">
        <v>65</v>
      </c>
      <c r="H172" t="s">
        <v>125</v>
      </c>
      <c r="I172" t="s">
        <v>141</v>
      </c>
      <c r="J172" s="2">
        <v>1.20891781538585</v>
      </c>
      <c r="K172" s="2">
        <v>2.0283483157382101</v>
      </c>
      <c r="L172" s="2">
        <v>2.9207052447217299</v>
      </c>
      <c r="M172" s="2">
        <v>4.0433514657590699</v>
      </c>
    </row>
    <row r="173" spans="1:13" x14ac:dyDescent="0.2">
      <c r="A173" t="s">
        <v>260</v>
      </c>
      <c r="B173">
        <v>2021</v>
      </c>
      <c r="C173">
        <v>2031</v>
      </c>
      <c r="D173">
        <v>2048</v>
      </c>
      <c r="E173">
        <v>2064</v>
      </c>
      <c r="F173" t="s">
        <v>59</v>
      </c>
      <c r="G173" t="s">
        <v>27</v>
      </c>
      <c r="H173" t="s">
        <v>56</v>
      </c>
      <c r="I173" t="s">
        <v>96</v>
      </c>
      <c r="J173" s="2">
        <v>0.89503062277614998</v>
      </c>
      <c r="K173" s="2">
        <v>1.4438244101794899</v>
      </c>
      <c r="L173" s="2">
        <v>2.5547435427169698</v>
      </c>
      <c r="M173" s="2">
        <v>3.7748969526302001</v>
      </c>
    </row>
    <row r="174" spans="1:13" x14ac:dyDescent="0.2">
      <c r="A174" t="s">
        <v>261</v>
      </c>
      <c r="B174">
        <v>2026</v>
      </c>
      <c r="C174">
        <v>2035</v>
      </c>
      <c r="D174">
        <v>2050</v>
      </c>
      <c r="E174">
        <v>2065</v>
      </c>
      <c r="F174" t="s">
        <v>75</v>
      </c>
      <c r="G174" t="s">
        <v>71</v>
      </c>
      <c r="H174" t="s">
        <v>101</v>
      </c>
      <c r="I174" t="s">
        <v>182</v>
      </c>
      <c r="J174" s="2">
        <v>1.06866230118783</v>
      </c>
      <c r="K174" s="2">
        <v>1.5759056509904801</v>
      </c>
      <c r="L174" s="2">
        <v>2.7276095714778599</v>
      </c>
      <c r="M174" s="2">
        <v>4.03220581000412</v>
      </c>
    </row>
    <row r="175" spans="1:13" x14ac:dyDescent="0.2">
      <c r="A175" t="s">
        <v>262</v>
      </c>
      <c r="B175">
        <v>2036</v>
      </c>
      <c r="C175">
        <v>2049</v>
      </c>
      <c r="D175">
        <v>2077</v>
      </c>
      <c r="F175" t="s">
        <v>111</v>
      </c>
      <c r="G175" t="s">
        <v>129</v>
      </c>
      <c r="H175" t="s">
        <v>194</v>
      </c>
      <c r="J175" s="2">
        <v>1.08655076110504</v>
      </c>
      <c r="K175" s="2">
        <v>1.1367346245888501</v>
      </c>
      <c r="L175" s="2">
        <v>2.5286943670620601</v>
      </c>
      <c r="M175" s="2"/>
    </row>
    <row r="176" spans="1:13" x14ac:dyDescent="0.2">
      <c r="A176" t="s">
        <v>263</v>
      </c>
      <c r="B176">
        <v>2031</v>
      </c>
      <c r="C176">
        <v>2047</v>
      </c>
      <c r="D176">
        <v>2070</v>
      </c>
      <c r="F176" t="s">
        <v>27</v>
      </c>
      <c r="G176" t="s">
        <v>153</v>
      </c>
      <c r="H176" t="s">
        <v>180</v>
      </c>
      <c r="J176" s="2">
        <v>0.87337643585348701</v>
      </c>
      <c r="K176" s="2">
        <v>1.5149966959032399</v>
      </c>
      <c r="L176" s="2">
        <v>2.7677175902520599</v>
      </c>
      <c r="M176" s="2"/>
    </row>
    <row r="177" spans="1:13" x14ac:dyDescent="0.2">
      <c r="A177" t="s">
        <v>264</v>
      </c>
      <c r="B177">
        <v>2031</v>
      </c>
      <c r="C177">
        <v>2047</v>
      </c>
      <c r="D177">
        <v>2075</v>
      </c>
      <c r="F177" t="s">
        <v>27</v>
      </c>
      <c r="G177" t="s">
        <v>153</v>
      </c>
      <c r="H177" t="s">
        <v>184</v>
      </c>
      <c r="J177" s="2">
        <v>1.1145570743870099</v>
      </c>
      <c r="K177" s="2">
        <v>2.0604355339278801</v>
      </c>
      <c r="L177" s="2">
        <v>2.9216101985538199</v>
      </c>
      <c r="M177" s="2"/>
    </row>
    <row r="178" spans="1:13" x14ac:dyDescent="0.2">
      <c r="A178" t="s">
        <v>265</v>
      </c>
      <c r="B178">
        <v>2019</v>
      </c>
      <c r="C178">
        <v>2035</v>
      </c>
      <c r="D178">
        <v>2051</v>
      </c>
      <c r="E178">
        <v>2067</v>
      </c>
      <c r="F178" t="s">
        <v>21</v>
      </c>
      <c r="G178" t="s">
        <v>71</v>
      </c>
      <c r="H178" t="s">
        <v>37</v>
      </c>
      <c r="I178" t="s">
        <v>123</v>
      </c>
      <c r="J178" s="2">
        <v>0.43056794999999998</v>
      </c>
      <c r="K178" s="2">
        <v>1.2029984</v>
      </c>
      <c r="L178" s="2">
        <v>2.6564833999999999</v>
      </c>
      <c r="M178" s="2">
        <v>4.1262420000000004</v>
      </c>
    </row>
    <row r="179" spans="1:13" x14ac:dyDescent="0.2">
      <c r="A179" t="s">
        <v>266</v>
      </c>
      <c r="B179">
        <v>2015</v>
      </c>
      <c r="C179">
        <v>2024</v>
      </c>
      <c r="D179">
        <v>2044</v>
      </c>
      <c r="E179">
        <v>2063</v>
      </c>
      <c r="F179" t="s">
        <v>90</v>
      </c>
      <c r="G179" t="s">
        <v>49</v>
      </c>
      <c r="H179" t="s">
        <v>65</v>
      </c>
      <c r="I179" t="s">
        <v>93</v>
      </c>
      <c r="J179" s="2">
        <v>0.44544618343072601</v>
      </c>
      <c r="K179" s="2">
        <v>1.33666703891469</v>
      </c>
      <c r="L179" s="2">
        <v>2.9402375526484801</v>
      </c>
      <c r="M179" s="2">
        <v>3.9461417949029598</v>
      </c>
    </row>
    <row r="180" spans="1:13" x14ac:dyDescent="0.2">
      <c r="A180" t="s">
        <v>267</v>
      </c>
      <c r="B180">
        <v>2018</v>
      </c>
      <c r="C180">
        <v>2039</v>
      </c>
      <c r="D180">
        <v>2065</v>
      </c>
      <c r="F180" t="s">
        <v>53</v>
      </c>
      <c r="G180" t="s">
        <v>45</v>
      </c>
      <c r="H180" t="s">
        <v>182</v>
      </c>
      <c r="J180" s="2">
        <v>0.52338572608099398</v>
      </c>
      <c r="K180" s="2">
        <v>1.0201967027452199</v>
      </c>
      <c r="L180" s="2">
        <v>2.3987316555447</v>
      </c>
      <c r="M180" s="2"/>
    </row>
    <row r="181" spans="1:13" x14ac:dyDescent="0.2">
      <c r="A181" t="s">
        <v>268</v>
      </c>
      <c r="B181">
        <v>2022</v>
      </c>
      <c r="C181">
        <v>2037</v>
      </c>
      <c r="D181">
        <v>2059</v>
      </c>
      <c r="E181">
        <v>2077</v>
      </c>
      <c r="F181" t="s">
        <v>44</v>
      </c>
      <c r="G181" t="s">
        <v>84</v>
      </c>
      <c r="H181" t="s">
        <v>214</v>
      </c>
      <c r="I181" t="s">
        <v>194</v>
      </c>
      <c r="J181" s="2">
        <v>0.65796911451553997</v>
      </c>
      <c r="K181" s="2">
        <v>1.59451366000707</v>
      </c>
      <c r="L181" s="2">
        <v>2.6080960803562001</v>
      </c>
      <c r="M181" s="2">
        <v>3.58100416395401</v>
      </c>
    </row>
    <row r="182" spans="1:13" x14ac:dyDescent="0.2">
      <c r="A182" t="s">
        <v>269</v>
      </c>
      <c r="B182">
        <v>2035</v>
      </c>
      <c r="C182">
        <v>2048</v>
      </c>
      <c r="D182">
        <v>2071</v>
      </c>
      <c r="F182" t="s">
        <v>71</v>
      </c>
      <c r="G182" t="s">
        <v>56</v>
      </c>
      <c r="H182" t="s">
        <v>219</v>
      </c>
      <c r="J182" s="2">
        <v>1.8198735696298001</v>
      </c>
      <c r="K182" s="2">
        <v>2.4433743088333602</v>
      </c>
      <c r="L182" s="2">
        <v>3.49936630814164</v>
      </c>
      <c r="M182" s="2"/>
    </row>
    <row r="183" spans="1:13" x14ac:dyDescent="0.2">
      <c r="A183" t="s">
        <v>270</v>
      </c>
      <c r="B183">
        <v>2041</v>
      </c>
      <c r="C183">
        <v>2054</v>
      </c>
      <c r="D183">
        <v>2077</v>
      </c>
      <c r="F183" t="s">
        <v>79</v>
      </c>
      <c r="G183" t="s">
        <v>240</v>
      </c>
      <c r="H183" t="s">
        <v>194</v>
      </c>
      <c r="J183" s="2">
        <v>1.33922528491628</v>
      </c>
      <c r="K183" s="2">
        <v>2.10454069670749</v>
      </c>
      <c r="L183" s="2">
        <v>3.3262258100273101</v>
      </c>
      <c r="M183" s="2"/>
    </row>
    <row r="184" spans="1:13" x14ac:dyDescent="0.2">
      <c r="A184" t="s">
        <v>271</v>
      </c>
      <c r="B184">
        <v>2034</v>
      </c>
      <c r="C184">
        <v>2050</v>
      </c>
      <c r="D184">
        <v>2074</v>
      </c>
      <c r="F184" t="s">
        <v>127</v>
      </c>
      <c r="G184" t="s">
        <v>101</v>
      </c>
      <c r="H184" t="s">
        <v>34</v>
      </c>
      <c r="J184" s="2">
        <v>0.91267686079618204</v>
      </c>
      <c r="K184" s="2">
        <v>1.4326487326320401</v>
      </c>
      <c r="L184" s="2">
        <v>2.8145093766053302</v>
      </c>
      <c r="M184" s="2"/>
    </row>
    <row r="185" spans="1:13" x14ac:dyDescent="0.2">
      <c r="A185" t="s">
        <v>272</v>
      </c>
      <c r="B185">
        <v>2035</v>
      </c>
      <c r="C185">
        <v>2049</v>
      </c>
      <c r="D185">
        <v>2072</v>
      </c>
      <c r="F185" t="s">
        <v>71</v>
      </c>
      <c r="G185" t="s">
        <v>129</v>
      </c>
      <c r="H185" t="s">
        <v>107</v>
      </c>
      <c r="J185" s="2">
        <v>1.0042349073621399</v>
      </c>
      <c r="K185" s="2">
        <v>1.2396501753064799</v>
      </c>
      <c r="L185" s="2">
        <v>2.8472741021049801</v>
      </c>
      <c r="M185" s="2"/>
    </row>
    <row r="186" spans="1:13" x14ac:dyDescent="0.2">
      <c r="A186" t="s">
        <v>273</v>
      </c>
      <c r="B186">
        <v>2027</v>
      </c>
      <c r="C186">
        <v>2039</v>
      </c>
      <c r="D186">
        <v>2065</v>
      </c>
      <c r="E186">
        <v>2084</v>
      </c>
      <c r="F186" t="s">
        <v>47</v>
      </c>
      <c r="G186" t="s">
        <v>45</v>
      </c>
      <c r="H186" t="s">
        <v>182</v>
      </c>
      <c r="I186" t="s">
        <v>137</v>
      </c>
      <c r="J186" s="2">
        <v>1.10221251242073</v>
      </c>
      <c r="K186" s="2">
        <v>1.51582841520342</v>
      </c>
      <c r="L186" s="2">
        <v>2.07431068548409</v>
      </c>
      <c r="M186" s="2">
        <v>3.18626180150236</v>
      </c>
    </row>
    <row r="187" spans="1:13" x14ac:dyDescent="0.2">
      <c r="A187" t="s">
        <v>274</v>
      </c>
      <c r="B187">
        <v>2021</v>
      </c>
      <c r="C187">
        <v>2034</v>
      </c>
      <c r="D187">
        <v>2055</v>
      </c>
      <c r="E187">
        <v>2073</v>
      </c>
      <c r="F187" t="s">
        <v>59</v>
      </c>
      <c r="G187" t="s">
        <v>127</v>
      </c>
      <c r="H187" t="s">
        <v>155</v>
      </c>
      <c r="I187" t="s">
        <v>162</v>
      </c>
      <c r="J187" s="2">
        <v>1.1108476003010901</v>
      </c>
      <c r="K187" s="2">
        <v>2.1629815419514702</v>
      </c>
      <c r="L187" s="2">
        <v>3.0682708740234101</v>
      </c>
      <c r="M187" s="2">
        <v>4.9337822278340404</v>
      </c>
    </row>
    <row r="188" spans="1:13" x14ac:dyDescent="0.2">
      <c r="A188" t="s">
        <v>275</v>
      </c>
      <c r="B188">
        <v>2043</v>
      </c>
      <c r="C188">
        <v>2057</v>
      </c>
      <c r="D188">
        <v>2078</v>
      </c>
      <c r="F188" t="s">
        <v>32</v>
      </c>
      <c r="G188" t="s">
        <v>67</v>
      </c>
      <c r="H188" t="s">
        <v>238</v>
      </c>
      <c r="J188" s="2">
        <v>1.39116558498808</v>
      </c>
      <c r="K188" s="2">
        <v>1.78786858452693</v>
      </c>
      <c r="L188" s="2">
        <v>3.3017069074842902</v>
      </c>
      <c r="M188" s="2"/>
    </row>
    <row r="189" spans="1:13" x14ac:dyDescent="0.2">
      <c r="A189" t="s">
        <v>276</v>
      </c>
      <c r="B189">
        <v>2040</v>
      </c>
      <c r="C189">
        <v>2055</v>
      </c>
      <c r="D189">
        <v>2077</v>
      </c>
      <c r="F189" t="s">
        <v>29</v>
      </c>
      <c r="G189" t="s">
        <v>155</v>
      </c>
      <c r="H189" t="s">
        <v>194</v>
      </c>
      <c r="J189" s="2">
        <v>1.4563077935103701</v>
      </c>
      <c r="K189" s="2">
        <v>2.0562198799908602</v>
      </c>
      <c r="L189" s="2">
        <v>3.3375443506061302</v>
      </c>
      <c r="M189" s="2"/>
    </row>
    <row r="190" spans="1:13" x14ac:dyDescent="0.2">
      <c r="A190" t="s">
        <v>277</v>
      </c>
      <c r="B190">
        <v>2029</v>
      </c>
      <c r="C190">
        <v>2037</v>
      </c>
      <c r="D190">
        <v>2053</v>
      </c>
      <c r="E190">
        <v>2068</v>
      </c>
      <c r="F190" t="s">
        <v>78</v>
      </c>
      <c r="G190" t="s">
        <v>84</v>
      </c>
      <c r="H190" t="s">
        <v>117</v>
      </c>
      <c r="I190" t="s">
        <v>10</v>
      </c>
      <c r="J190" s="2">
        <v>1.3387061081459299</v>
      </c>
      <c r="K190" s="2">
        <v>2.0198557882195698</v>
      </c>
      <c r="L190" s="2">
        <v>3.0751325493022001</v>
      </c>
      <c r="M190" s="2">
        <v>4.0859329968909401</v>
      </c>
    </row>
    <row r="191" spans="1:13" x14ac:dyDescent="0.2">
      <c r="A191" t="s">
        <v>278</v>
      </c>
      <c r="B191">
        <v>2024</v>
      </c>
      <c r="C191">
        <v>2032</v>
      </c>
      <c r="D191">
        <v>2047</v>
      </c>
      <c r="E191">
        <v>2061</v>
      </c>
      <c r="F191" t="s">
        <v>49</v>
      </c>
      <c r="G191" t="s">
        <v>51</v>
      </c>
      <c r="H191" t="s">
        <v>153</v>
      </c>
      <c r="I191" t="s">
        <v>233</v>
      </c>
      <c r="J191" s="2">
        <v>1.2816644015229799</v>
      </c>
      <c r="K191" s="2">
        <v>1.8299725590598299</v>
      </c>
      <c r="L191" s="2">
        <v>3.4271130751793302</v>
      </c>
      <c r="M191" s="2">
        <v>5.1160528958783802</v>
      </c>
    </row>
  </sheetData>
  <mergeCells count="5">
    <mergeCell ref="B1:E1"/>
    <mergeCell ref="F1:I1"/>
    <mergeCell ref="J1:M1"/>
    <mergeCell ref="N1:Q1"/>
    <mergeCell ref="R1:U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2023-05-11T13:45:49Z</dcterms:created>
  <dcterms:modified xsi:type="dcterms:W3CDTF">2023-07-20T14:39:33Z</dcterms:modified>
</cp:coreProperties>
</file>