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F97F065B-6321-1D4C-B4ED-12E9EB7CCB49}" xr6:coauthVersionLast="47" xr6:coauthVersionMax="47" xr10:uidLastSave="{00000000-0000-0000-0000-000000000000}"/>
  <bookViews>
    <workbookView xWindow="-20" yWindow="500" windowWidth="38400" windowHeight="22120" activeTab="2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year_of _reaching_gwl_CM5_CM6" sheetId="12" r:id="rId5"/>
    <sheet name="year_of_reaching_diff" sheetId="14" r:id="rId6"/>
    <sheet name="gwl_date" sheetId="3" r:id="rId7"/>
    <sheet name="gwl_rcps" sheetId="4" r:id="rId8"/>
    <sheet name="gwl_ccs_AUT" sheetId="5" r:id="rId9"/>
    <sheet name="ccs_aut_gcm vs. ccs_oeks15" sheetId="7" r:id="rId10"/>
    <sheet name="ccs_aut_oeks gwl vs rcp" sheetId="9" r:id="rId11"/>
  </sheets>
  <externalReferences>
    <externalReference r:id="rId12"/>
    <externalReference r:id="rId13"/>
  </externalReferences>
  <definedNames>
    <definedName name="_xlchart.v1.0" hidden="1">Tabelle1!$AY$44</definedName>
    <definedName name="_xlchart.v1.1" hidden="1">Tabelle1!$AZ$3:$AZ$36</definedName>
    <definedName name="_xlchart.v1.10" hidden="1">Tabelle1!$BA$3:$BA$36</definedName>
    <definedName name="_xlchart.v1.11" hidden="1">Tabelle1!$BB$3:$BB$36</definedName>
    <definedName name="_xlchart.v1.12" hidden="1">Tabelle1!$BC$11:$BC$36</definedName>
    <definedName name="_xlchart.v1.13" hidden="1">Tabelle1!$BC$3:$BC$36</definedName>
    <definedName name="_xlchart.v1.14" hidden="1">Tabelle1!$BD$21:$BD$36</definedName>
    <definedName name="_xlchart.v1.15" hidden="1">Tabelle1!$BE$25:$BE$33</definedName>
    <definedName name="_xlchart.v1.16" hidden="1">Tabelle1!$AY$44</definedName>
    <definedName name="_xlchart.v1.17" hidden="1">Tabelle1!$AZ$3:$AZ$36</definedName>
    <definedName name="_xlchart.v1.18" hidden="1">Tabelle1!$BA$3:$BA$36</definedName>
    <definedName name="_xlchart.v1.19" hidden="1">Tabelle1!$BB$3:$BB$36</definedName>
    <definedName name="_xlchart.v1.2" hidden="1">Tabelle1!$BA$3:$BA$36</definedName>
    <definedName name="_xlchart.v1.20" hidden="1">Tabelle1!$BC$11:$BC$36</definedName>
    <definedName name="_xlchart.v1.21" hidden="1">Tabelle1!$BC$3:$BC$36</definedName>
    <definedName name="_xlchart.v1.22" hidden="1">Tabelle1!$BD$21:$BD$36</definedName>
    <definedName name="_xlchart.v1.23" hidden="1">Tabelle1!$BE$25:$BE$33</definedName>
    <definedName name="_xlchart.v1.24" hidden="1">[1]Tabelle2!$B$3:$B$28</definedName>
    <definedName name="_xlchart.v1.25" hidden="1">[1]Tabelle2!$C$3:$C$28</definedName>
    <definedName name="_xlchart.v1.26" hidden="1">[1]Tabelle2!$D$3:$D$28</definedName>
    <definedName name="_xlchart.v1.27" hidden="1">[1]Tabelle2!$E$3:$E$28</definedName>
    <definedName name="_xlchart.v1.28" hidden="1">[2]Tabelle2!$B$3:$B$191</definedName>
    <definedName name="_xlchart.v1.29" hidden="1">[2]Tabelle2!$C$3:$C$191</definedName>
    <definedName name="_xlchart.v1.3" hidden="1">Tabelle1!$BB$3:$BB$36</definedName>
    <definedName name="_xlchart.v1.30" hidden="1">[2]Tabelle2!$D$3:$D$191</definedName>
    <definedName name="_xlchart.v1.31" hidden="1">[2]Tabelle2!$E$3:$E$191</definedName>
    <definedName name="_xlchart.v1.32" hidden="1">Tabelle2!$C$3:$C$33</definedName>
    <definedName name="_xlchart.v1.33" hidden="1">Tabelle2!$D$3:$D$33</definedName>
    <definedName name="_xlchart.v1.34" hidden="1">Tabelle2!$E$3:$E$33</definedName>
    <definedName name="_xlchart.v1.35" hidden="1">Tabelle2!$F$3:$F$33</definedName>
    <definedName name="_xlchart.v1.36" hidden="1">[1]Tabelle2!$B$12:$B$19</definedName>
    <definedName name="_xlchart.v1.37" hidden="1">[1]Tabelle2!$B$20:$B$28</definedName>
    <definedName name="_xlchart.v1.38" hidden="1">[1]Tabelle2!$B$3:$B$11</definedName>
    <definedName name="_xlchart.v1.39" hidden="1">[1]Tabelle2!$C$12:$C$19</definedName>
    <definedName name="_xlchart.v1.4" hidden="1">Tabelle1!$BC$11:$BC$36</definedName>
    <definedName name="_xlchart.v1.40" hidden="1">[1]Tabelle2!$C$20:$C$28</definedName>
    <definedName name="_xlchart.v1.41" hidden="1">[1]Tabelle2!$C$3:$C$11</definedName>
    <definedName name="_xlchart.v1.42" hidden="1">[1]Tabelle2!$F$33:$F$42</definedName>
    <definedName name="_xlchart.v1.43" hidden="1">[1]Tabelle2!$J$3:$J$28</definedName>
    <definedName name="_xlchart.v1.44" hidden="1">[1]Tabelle2!$K$3:$K$28</definedName>
    <definedName name="_xlchart.v1.45" hidden="1">[1]Tabelle2!$L$3:$L$28</definedName>
    <definedName name="_xlchart.v1.46" hidden="1">[1]Tabelle2!$M$3:$M$28</definedName>
    <definedName name="_xlchart.v1.47" hidden="1">[2]Tabelle2!$J$3:$J$191</definedName>
    <definedName name="_xlchart.v1.48" hidden="1">[2]Tabelle2!$K$3:$K$191</definedName>
    <definedName name="_xlchart.v1.49" hidden="1">[2]Tabelle2!$L$3:$L$191</definedName>
    <definedName name="_xlchart.v1.5" hidden="1">Tabelle1!$BC$3:$BC$36</definedName>
    <definedName name="_xlchart.v1.50" hidden="1">[2]Tabelle2!$M$3:$M$191</definedName>
    <definedName name="_xlchart.v1.51" hidden="1">Tabelle1!$G$3:$G$36</definedName>
    <definedName name="_xlchart.v1.52" hidden="1">Tabelle1!$H$3:$H$36</definedName>
    <definedName name="_xlchart.v1.53" hidden="1">Tabelle1!$I$3:$I$36</definedName>
    <definedName name="_xlchart.v1.54" hidden="1">Tabelle1!$J$3:$J$36</definedName>
    <definedName name="_xlchart.v1.55" hidden="1">Tabelle1!$D$2</definedName>
    <definedName name="_xlchart.v1.56" hidden="1">Tabelle1!$D$3:$D$15</definedName>
    <definedName name="_xlchart.v1.57" hidden="1">Tabelle1!$E$2</definedName>
    <definedName name="_xlchart.v1.58" hidden="1">Tabelle1!$E$3:$E$15</definedName>
    <definedName name="_xlchart.v1.59" hidden="1">Tabelle1!$F$2</definedName>
    <definedName name="_xlchart.v1.6" hidden="1">Tabelle1!$BD$21:$BD$36</definedName>
    <definedName name="_xlchart.v1.60" hidden="1">Tabelle1!$F$3:$F$15</definedName>
    <definedName name="_xlchart.v1.7" hidden="1">Tabelle1!$BE$25:$BE$33</definedName>
    <definedName name="_xlchart.v1.8" hidden="1">Tabelle1!$AY$44</definedName>
    <definedName name="_xlchart.v1.9" hidden="1">Tabelle1!$AZ$3:$AZ$36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3" i="6" l="1"/>
  <c r="AW3" i="6"/>
  <c r="AX3" i="6"/>
  <c r="AV4" i="6"/>
  <c r="AW4" i="6"/>
  <c r="AX4" i="6"/>
  <c r="AV5" i="6"/>
  <c r="AW5" i="6"/>
  <c r="AX5" i="6"/>
  <c r="AV6" i="6"/>
  <c r="AW6" i="6"/>
  <c r="AX6" i="6"/>
  <c r="AV7" i="6"/>
  <c r="AW7" i="6"/>
  <c r="AX7" i="6"/>
  <c r="AV8" i="6"/>
  <c r="AW8" i="6"/>
  <c r="AX8" i="6"/>
  <c r="AV9" i="6"/>
  <c r="AW9" i="6"/>
  <c r="AX9" i="6"/>
  <c r="AV10" i="6"/>
  <c r="AW10" i="6"/>
  <c r="AX10" i="6"/>
  <c r="AV11" i="6"/>
  <c r="AW11" i="6"/>
  <c r="AX11" i="6"/>
  <c r="AV12" i="6"/>
  <c r="AW12" i="6"/>
  <c r="AX12" i="6"/>
  <c r="AV13" i="6"/>
  <c r="AW13" i="6"/>
  <c r="AX13" i="6"/>
  <c r="AV14" i="6"/>
  <c r="AW14" i="6"/>
  <c r="AX14" i="6"/>
  <c r="AV15" i="6"/>
  <c r="AW15" i="6"/>
  <c r="AX15" i="6"/>
  <c r="AV16" i="6"/>
  <c r="AW16" i="6"/>
  <c r="AX16" i="6"/>
  <c r="AV17" i="6"/>
  <c r="AW17" i="6"/>
  <c r="AX17" i="6"/>
  <c r="AV18" i="6"/>
  <c r="AW18" i="6"/>
  <c r="AX18" i="6"/>
  <c r="AV19" i="6"/>
  <c r="AW19" i="6"/>
  <c r="AX19" i="6"/>
  <c r="AV20" i="6"/>
  <c r="AW20" i="6"/>
  <c r="AX20" i="6"/>
  <c r="AV21" i="6"/>
  <c r="AW21" i="6"/>
  <c r="AX21" i="6"/>
  <c r="AV22" i="6"/>
  <c r="AW22" i="6"/>
  <c r="AX22" i="6"/>
  <c r="AV23" i="6"/>
  <c r="AW23" i="6"/>
  <c r="AX23" i="6"/>
  <c r="AV24" i="6"/>
  <c r="AW24" i="6"/>
  <c r="AX24" i="6"/>
  <c r="AV25" i="6"/>
  <c r="AW25" i="6"/>
  <c r="AX25" i="6"/>
  <c r="AV26" i="6"/>
  <c r="AW26" i="6"/>
  <c r="AX26" i="6"/>
  <c r="AV27" i="6"/>
  <c r="AW27" i="6"/>
  <c r="AX27" i="6"/>
  <c r="AV28" i="6"/>
  <c r="AW28" i="6"/>
  <c r="AX28" i="6"/>
  <c r="AV29" i="6"/>
  <c r="AW29" i="6"/>
  <c r="AX29" i="6"/>
  <c r="AV30" i="6"/>
  <c r="AW30" i="6"/>
  <c r="AX30" i="6"/>
  <c r="AV31" i="6"/>
  <c r="AW31" i="6"/>
  <c r="AX31" i="6"/>
  <c r="AV32" i="6"/>
  <c r="AW32" i="6"/>
  <c r="AX32" i="6"/>
  <c r="AV33" i="6"/>
  <c r="AW33" i="6"/>
  <c r="AX33" i="6"/>
  <c r="AV34" i="6"/>
  <c r="AW34" i="6"/>
  <c r="AX34" i="6"/>
  <c r="AV35" i="6"/>
  <c r="AW35" i="6"/>
  <c r="AX35" i="6"/>
  <c r="AV36" i="6"/>
  <c r="AW36" i="6"/>
  <c r="AX36" i="6"/>
  <c r="AU4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" i="6"/>
</calcChain>
</file>

<file path=xl/sharedStrings.xml><?xml version="1.0" encoding="utf-8"?>
<sst xmlns="http://schemas.openxmlformats.org/spreadsheetml/2006/main" count="632" uniqueCount="149">
  <si>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</si>
  <si>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</si>
  <si>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</si>
  <si>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</si>
  <si>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</si>
  <si>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</si>
  <si>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</si>
  <si>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</si>
  <si>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</si>
  <si>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</si>
  <si>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</si>
  <si>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</si>
  <si>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</si>
  <si>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</si>
  <si>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</si>
  <si>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</si>
  <si>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</si>
  <si>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</si>
  <si>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</si>
  <si>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</si>
  <si>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</si>
  <si>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</si>
  <si>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</si>
  <si>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</si>
  <si>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</si>
  <si>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</si>
  <si>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</si>
  <si>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</si>
  <si>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</si>
  <si>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</si>
  <si>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</si>
  <si>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</si>
  <si>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</si>
  <si>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</si>
  <si>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</si>
  <si>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</si>
  <si>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</si>
  <si>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</si>
  <si>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</si>
  <si>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</si>
  <si>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</si>
  <si>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</si>
  <si>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</si>
  <si>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</si>
  <si>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</si>
  <si>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</si>
  <si>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</si>
  <si>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</si>
  <si>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</si>
  <si>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</si>
  <si>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</si>
  <si>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</si>
  <si>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</si>
  <si>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</si>
  <si>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</si>
  <si>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</si>
  <si>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</si>
  <si>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</si>
  <si>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</si>
  <si>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</si>
  <si>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</si>
  <si>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</si>
  <si>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</si>
  <si>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</si>
  <si>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</si>
  <si>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</si>
  <si>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</si>
  <si>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</si>
  <si>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</si>
  <si>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</si>
  <si>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</si>
  <si>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</si>
  <si>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</si>
  <si>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</si>
  <si>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</si>
  <si>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</si>
  <si>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</si>
  <si>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</si>
  <si>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</si>
  <si>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</si>
  <si>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</si>
  <si>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</si>
  <si>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</si>
  <si>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</si>
  <si>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</si>
  <si>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</si>
  <si>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</si>
  <si>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</si>
  <si>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</si>
  <si>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</si>
  <si>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</si>
  <si>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</si>
  <si>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</si>
  <si>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</si>
  <si>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</si>
  <si>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</si>
  <si>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</si>
  <si>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</si>
  <si>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</si>
  <si>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</si>
  <si>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</si>
  <si>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</si>
  <si>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</si>
  <si>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</si>
  <si>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</si>
  <si>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</si>
  <si>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</si>
  <si>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</si>
  <si>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</si>
  <si>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</si>
  <si>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</si>
  <si>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</si>
  <si>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</si>
  <si>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</si>
  <si>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</si>
  <si>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</si>
  <si>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</si>
  <si>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</si>
  <si>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</si>
  <si>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</si>
  <si>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</si>
  <si>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</si>
  <si>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</si>
  <si>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</si>
  <si>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</si>
  <si>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</si>
  <si>
    <t>ICHEC-EC-EARTH_rcp26_r12i1p1_CLMcom-CCLM4-8-17</t>
  </si>
  <si>
    <t>ICHEC-EC-EARTH_rcp26_r12i1p1_KNMI-RACMO22E</t>
  </si>
  <si>
    <t>ICHEC-EC-EARTH_rcp26_r12i1p1_SMHI-RCA4</t>
  </si>
  <si>
    <t>MOHC-HadGEM2-ES_rcp26_r1i1p1_SMHI-RCA4</t>
  </si>
  <si>
    <t>MPI-M-MPI-ESM-LR_rcp26_r1i1p1_MPI-CSC-REMO2009</t>
  </si>
  <si>
    <t>MPI-M-MPI-ESM-LR_rcp26_r1i1p1_SMHI-RCA4</t>
  </si>
  <si>
    <t>MPI-M-MPI-ESM-LR_rcp26_r2i1p1_MPI-CSC-REMO2009</t>
  </si>
  <si>
    <t>Model reaching GWL (CMIP5)</t>
  </si>
  <si>
    <t>Model reaching GWL (CMIP6)</t>
  </si>
  <si>
    <t/>
  </si>
  <si>
    <t>CMIP5</t>
  </si>
  <si>
    <t>CMIP6</t>
  </si>
  <si>
    <t>1.5°C (CMIP5)</t>
  </si>
  <si>
    <t>2°C (CMIP5)</t>
  </si>
  <si>
    <t>3°C (CMIP5)</t>
  </si>
  <si>
    <t>4°C (CMIP5)</t>
  </si>
  <si>
    <t>1.5°C (CMIP6)</t>
  </si>
  <si>
    <t>2°C (CMIP6)</t>
  </si>
  <si>
    <t>3°C (CMIP6)</t>
  </si>
  <si>
    <t>4°C (CMIP6)</t>
  </si>
  <si>
    <t>CMIP 6</t>
  </si>
  <si>
    <t>rcp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</si>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</sst>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2" borderId="7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/>
    <xf numFmtId="0" fontId="0" fillId="0" borderId="0" xfId="0" applyFill="1" applyBorder="1"/>
    <xf numFmtId="0" fontId="0" fillId="2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worksheet" Target="worksheets/sheet4.xml"/><Relationship Id="rId5" Type="http://schemas.openxmlformats.org/officeDocument/2006/relationships/chartsheet" Target="chartsheets/sheet2.xml"/><Relationship Id="rId15" Type="http://schemas.openxmlformats.org/officeDocument/2006/relationships/styles" Target="styles.xml"/><Relationship Id="rId10" Type="http://schemas.openxmlformats.org/officeDocument/2006/relationships/chartsheet" Target="chartsheets/sheet7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6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2024</c:v>
                </c:pt>
                <c:pt idx="5">
                  <c:v>2023</c:v>
                </c:pt>
                <c:pt idx="6">
                  <c:v>2023</c:v>
                </c:pt>
                <c:pt idx="7">
                  <c:v>2017</c:v>
                </c:pt>
                <c:pt idx="8">
                  <c:v>2038</c:v>
                </c:pt>
                <c:pt idx="9">
                  <c:v>2038</c:v>
                </c:pt>
                <c:pt idx="10">
                  <c:v>2038</c:v>
                </c:pt>
                <c:pt idx="11">
                  <c:v>2023</c:v>
                </c:pt>
                <c:pt idx="12">
                  <c:v>2023</c:v>
                </c:pt>
                <c:pt idx="13">
                  <c:v>2023</c:v>
                </c:pt>
                <c:pt idx="14">
                  <c:v>2023</c:v>
                </c:pt>
                <c:pt idx="15">
                  <c:v>2017</c:v>
                </c:pt>
                <c:pt idx="16">
                  <c:v>2017</c:v>
                </c:pt>
                <c:pt idx="17">
                  <c:v>2029</c:v>
                </c:pt>
                <c:pt idx="18">
                  <c:v>2029</c:v>
                </c:pt>
                <c:pt idx="19">
                  <c:v>2023</c:v>
                </c:pt>
                <c:pt idx="20">
                  <c:v>2023</c:v>
                </c:pt>
                <c:pt idx="21">
                  <c:v>2031</c:v>
                </c:pt>
                <c:pt idx="22">
                  <c:v>2031</c:v>
                </c:pt>
                <c:pt idx="23">
                  <c:v>2031</c:v>
                </c:pt>
                <c:pt idx="24">
                  <c:v>2019</c:v>
                </c:pt>
                <c:pt idx="25">
                  <c:v>2019</c:v>
                </c:pt>
                <c:pt idx="26">
                  <c:v>2020</c:v>
                </c:pt>
                <c:pt idx="27">
                  <c:v>2020</c:v>
                </c:pt>
                <c:pt idx="28">
                  <c:v>2016</c:v>
                </c:pt>
                <c:pt idx="29">
                  <c:v>2016</c:v>
                </c:pt>
                <c:pt idx="30">
                  <c:v>2024</c:v>
                </c:pt>
                <c:pt idx="31">
                  <c:v>2024</c:v>
                </c:pt>
                <c:pt idx="32">
                  <c:v>2018</c:v>
                </c:pt>
                <c:pt idx="33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17</c:v>
                </c:pt>
                <c:pt idx="16">
                  <c:v>17</c:v>
                </c:pt>
                <c:pt idx="17">
                  <c:v>15</c:v>
                </c:pt>
                <c:pt idx="18">
                  <c:v>15</c:v>
                </c:pt>
                <c:pt idx="19">
                  <c:v>22</c:v>
                </c:pt>
                <c:pt idx="20">
                  <c:v>22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15</c:v>
                </c:pt>
                <c:pt idx="29">
                  <c:v>15</c:v>
                </c:pt>
                <c:pt idx="30">
                  <c:v>12</c:v>
                </c:pt>
                <c:pt idx="31">
                  <c:v>12</c:v>
                </c:pt>
                <c:pt idx="32">
                  <c:v>20</c:v>
                </c:pt>
                <c:pt idx="3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44</c:v>
                </c:pt>
                <c:pt idx="16">
                  <c:v>44</c:v>
                </c:pt>
                <c:pt idx="17">
                  <c:v>35</c:v>
                </c:pt>
                <c:pt idx="18">
                  <c:v>35</c:v>
                </c:pt>
                <c:pt idx="19">
                  <c:v>0</c:v>
                </c:pt>
                <c:pt idx="20">
                  <c:v>0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20</c:v>
                </c:pt>
                <c:pt idx="29">
                  <c:v>20</c:v>
                </c:pt>
                <c:pt idx="30">
                  <c:v>19</c:v>
                </c:pt>
                <c:pt idx="31">
                  <c:v>19</c:v>
                </c:pt>
                <c:pt idx="32">
                  <c:v>24</c:v>
                </c:pt>
                <c:pt idx="3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0</c:v>
                </c:pt>
                <c:pt idx="25">
                  <c:v>0</c:v>
                </c:pt>
                <c:pt idx="26">
                  <c:v>21</c:v>
                </c:pt>
                <c:pt idx="27">
                  <c:v>21</c:v>
                </c:pt>
                <c:pt idx="28">
                  <c:v>16</c:v>
                </c:pt>
                <c:pt idx="29">
                  <c:v>16</c:v>
                </c:pt>
                <c:pt idx="30">
                  <c:v>17</c:v>
                </c:pt>
                <c:pt idx="31">
                  <c:v>17</c:v>
                </c:pt>
                <c:pt idx="32">
                  <c:v>20</c:v>
                </c:pt>
                <c:pt idx="3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0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max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</a:t>
            </a:r>
            <a:r>
              <a:rPr lang="de-DE" b="1" baseline="0"/>
              <a:t> of reaching GWLs: CMIP5 vs. CMIP6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Tabelle1!$Z$2</c:f>
              <c:strCache>
                <c:ptCount val="1"/>
                <c:pt idx="0">
                  <c:v>1.5°C (CMIP5)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Tabelle1!$Z$3:$Z$103</c:f>
              <c:numCache>
                <c:formatCode>General</c:formatCode>
                <c:ptCount val="101"/>
                <c:pt idx="0">
                  <c:v>2024</c:v>
                </c:pt>
                <c:pt idx="3">
                  <c:v>2024</c:v>
                </c:pt>
                <c:pt idx="6">
                  <c:v>2024</c:v>
                </c:pt>
                <c:pt idx="9">
                  <c:v>2024</c:v>
                </c:pt>
                <c:pt idx="12">
                  <c:v>2024</c:v>
                </c:pt>
                <c:pt idx="15">
                  <c:v>2023</c:v>
                </c:pt>
                <c:pt idx="18">
                  <c:v>2023</c:v>
                </c:pt>
                <c:pt idx="21">
                  <c:v>2017</c:v>
                </c:pt>
                <c:pt idx="24">
                  <c:v>2038</c:v>
                </c:pt>
                <c:pt idx="27">
                  <c:v>2038</c:v>
                </c:pt>
                <c:pt idx="30">
                  <c:v>2038</c:v>
                </c:pt>
                <c:pt idx="33">
                  <c:v>2023</c:v>
                </c:pt>
                <c:pt idx="36">
                  <c:v>2023</c:v>
                </c:pt>
                <c:pt idx="39">
                  <c:v>2023</c:v>
                </c:pt>
                <c:pt idx="42">
                  <c:v>2023</c:v>
                </c:pt>
                <c:pt idx="45">
                  <c:v>2017</c:v>
                </c:pt>
                <c:pt idx="48">
                  <c:v>2017</c:v>
                </c:pt>
                <c:pt idx="51">
                  <c:v>2029</c:v>
                </c:pt>
                <c:pt idx="54">
                  <c:v>2029</c:v>
                </c:pt>
                <c:pt idx="57">
                  <c:v>2023</c:v>
                </c:pt>
                <c:pt idx="60">
                  <c:v>2023</c:v>
                </c:pt>
                <c:pt idx="63">
                  <c:v>2031</c:v>
                </c:pt>
                <c:pt idx="66">
                  <c:v>2031</c:v>
                </c:pt>
                <c:pt idx="69">
                  <c:v>2031</c:v>
                </c:pt>
                <c:pt idx="72">
                  <c:v>2019</c:v>
                </c:pt>
                <c:pt idx="75">
                  <c:v>2019</c:v>
                </c:pt>
                <c:pt idx="78">
                  <c:v>2020</c:v>
                </c:pt>
                <c:pt idx="81">
                  <c:v>2020</c:v>
                </c:pt>
                <c:pt idx="84">
                  <c:v>2016</c:v>
                </c:pt>
                <c:pt idx="87">
                  <c:v>2016</c:v>
                </c:pt>
                <c:pt idx="90">
                  <c:v>2024</c:v>
                </c:pt>
                <c:pt idx="93">
                  <c:v>2024</c:v>
                </c:pt>
                <c:pt idx="96">
                  <c:v>2018</c:v>
                </c:pt>
                <c:pt idx="99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2F-6144-B0B1-640C17C2CFD3}"/>
            </c:ext>
          </c:extLst>
        </c:ser>
        <c:ser>
          <c:idx val="1"/>
          <c:order val="1"/>
          <c:tx>
            <c:strRef>
              <c:f>Tabelle1!$AA$2</c:f>
              <c:strCache>
                <c:ptCount val="1"/>
                <c:pt idx="0">
                  <c:v>2°C (CMIP5)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Tabelle1!$AA$3:$AA$103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21</c:v>
                </c:pt>
                <c:pt idx="27">
                  <c:v>21</c:v>
                </c:pt>
                <c:pt idx="30">
                  <c:v>21</c:v>
                </c:pt>
                <c:pt idx="33">
                  <c:v>22</c:v>
                </c:pt>
                <c:pt idx="36">
                  <c:v>22</c:v>
                </c:pt>
                <c:pt idx="39">
                  <c:v>22</c:v>
                </c:pt>
                <c:pt idx="42">
                  <c:v>22</c:v>
                </c:pt>
                <c:pt idx="45">
                  <c:v>17</c:v>
                </c:pt>
                <c:pt idx="48">
                  <c:v>17</c:v>
                </c:pt>
                <c:pt idx="51">
                  <c:v>15</c:v>
                </c:pt>
                <c:pt idx="54">
                  <c:v>15</c:v>
                </c:pt>
                <c:pt idx="57">
                  <c:v>22</c:v>
                </c:pt>
                <c:pt idx="60">
                  <c:v>22</c:v>
                </c:pt>
                <c:pt idx="63">
                  <c:v>15</c:v>
                </c:pt>
                <c:pt idx="66">
                  <c:v>15</c:v>
                </c:pt>
                <c:pt idx="69">
                  <c:v>15</c:v>
                </c:pt>
                <c:pt idx="72">
                  <c:v>16</c:v>
                </c:pt>
                <c:pt idx="75">
                  <c:v>16</c:v>
                </c:pt>
                <c:pt idx="78">
                  <c:v>16</c:v>
                </c:pt>
                <c:pt idx="81">
                  <c:v>16</c:v>
                </c:pt>
                <c:pt idx="84">
                  <c:v>15</c:v>
                </c:pt>
                <c:pt idx="87">
                  <c:v>15</c:v>
                </c:pt>
                <c:pt idx="90">
                  <c:v>12</c:v>
                </c:pt>
                <c:pt idx="93">
                  <c:v>12</c:v>
                </c:pt>
                <c:pt idx="96">
                  <c:v>20</c:v>
                </c:pt>
                <c:pt idx="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2F-6144-B0B1-640C17C2CFD3}"/>
            </c:ext>
          </c:extLst>
        </c:ser>
        <c:ser>
          <c:idx val="2"/>
          <c:order val="2"/>
          <c:tx>
            <c:strRef>
              <c:f>Tabelle1!$AB$2</c:f>
              <c:strCache>
                <c:ptCount val="1"/>
                <c:pt idx="0">
                  <c:v>3°C (CMIP5)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Tabelle1!$AB$3:$AB$103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44</c:v>
                </c:pt>
                <c:pt idx="48">
                  <c:v>44</c:v>
                </c:pt>
                <c:pt idx="51">
                  <c:v>35</c:v>
                </c:pt>
                <c:pt idx="54">
                  <c:v>35</c:v>
                </c:pt>
                <c:pt idx="57">
                  <c:v>0</c:v>
                </c:pt>
                <c:pt idx="60">
                  <c:v>0</c:v>
                </c:pt>
                <c:pt idx="63">
                  <c:v>22</c:v>
                </c:pt>
                <c:pt idx="66">
                  <c:v>22</c:v>
                </c:pt>
                <c:pt idx="69">
                  <c:v>22</c:v>
                </c:pt>
                <c:pt idx="72">
                  <c:v>26</c:v>
                </c:pt>
                <c:pt idx="75">
                  <c:v>26</c:v>
                </c:pt>
                <c:pt idx="78">
                  <c:v>26</c:v>
                </c:pt>
                <c:pt idx="81">
                  <c:v>26</c:v>
                </c:pt>
                <c:pt idx="84">
                  <c:v>20</c:v>
                </c:pt>
                <c:pt idx="87">
                  <c:v>20</c:v>
                </c:pt>
                <c:pt idx="90">
                  <c:v>19</c:v>
                </c:pt>
                <c:pt idx="93">
                  <c:v>19</c:v>
                </c:pt>
                <c:pt idx="96">
                  <c:v>24</c:v>
                </c:pt>
                <c:pt idx="99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2F-6144-B0B1-640C17C2CFD3}"/>
            </c:ext>
          </c:extLst>
        </c:ser>
        <c:ser>
          <c:idx val="3"/>
          <c:order val="3"/>
          <c:tx>
            <c:strRef>
              <c:f>Tabelle1!$AC$2</c:f>
              <c:strCache>
                <c:ptCount val="1"/>
                <c:pt idx="0">
                  <c:v>4°C (CMIP5)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Tabelle1!$AC$3:$AC$103</c:f>
              <c:numCache>
                <c:formatCode>General</c:formatCode>
                <c:ptCount val="101"/>
                <c:pt idx="0">
                  <c:v>0</c:v>
                </c:pt>
                <c:pt idx="3">
                  <c:v>0</c:v>
                </c:pt>
                <c:pt idx="6">
                  <c:v>0</c:v>
                </c:pt>
                <c:pt idx="9">
                  <c:v>0</c:v>
                </c:pt>
                <c:pt idx="12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  <c:pt idx="30">
                  <c:v>0</c:v>
                </c:pt>
                <c:pt idx="33">
                  <c:v>0</c:v>
                </c:pt>
                <c:pt idx="36">
                  <c:v>0</c:v>
                </c:pt>
                <c:pt idx="39">
                  <c:v>0</c:v>
                </c:pt>
                <c:pt idx="42">
                  <c:v>0</c:v>
                </c:pt>
                <c:pt idx="45">
                  <c:v>0</c:v>
                </c:pt>
                <c:pt idx="48">
                  <c:v>0</c:v>
                </c:pt>
                <c:pt idx="51">
                  <c:v>0</c:v>
                </c:pt>
                <c:pt idx="54">
                  <c:v>0</c:v>
                </c:pt>
                <c:pt idx="57">
                  <c:v>0</c:v>
                </c:pt>
                <c:pt idx="60">
                  <c:v>0</c:v>
                </c:pt>
                <c:pt idx="63">
                  <c:v>20</c:v>
                </c:pt>
                <c:pt idx="66">
                  <c:v>20</c:v>
                </c:pt>
                <c:pt idx="69">
                  <c:v>20</c:v>
                </c:pt>
                <c:pt idx="72">
                  <c:v>0</c:v>
                </c:pt>
                <c:pt idx="75">
                  <c:v>0</c:v>
                </c:pt>
                <c:pt idx="78">
                  <c:v>21</c:v>
                </c:pt>
                <c:pt idx="81">
                  <c:v>21</c:v>
                </c:pt>
                <c:pt idx="84">
                  <c:v>16</c:v>
                </c:pt>
                <c:pt idx="87">
                  <c:v>16</c:v>
                </c:pt>
                <c:pt idx="90">
                  <c:v>17</c:v>
                </c:pt>
                <c:pt idx="93">
                  <c:v>17</c:v>
                </c:pt>
                <c:pt idx="96">
                  <c:v>20</c:v>
                </c:pt>
                <c:pt idx="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2F-6144-B0B1-640C17C2CFD3}"/>
            </c:ext>
          </c:extLst>
        </c:ser>
        <c:ser>
          <c:idx val="4"/>
          <c:order val="4"/>
          <c:tx>
            <c:strRef>
              <c:f>Tabelle1!$AD$2</c:f>
              <c:strCache>
                <c:ptCount val="1"/>
                <c:pt idx="0">
                  <c:v>1.5°C (CMIP6)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Tabelle1!$AD$3:$AD$103</c:f>
              <c:numCache>
                <c:formatCode>General</c:formatCode>
                <c:ptCount val="101"/>
                <c:pt idx="4">
                  <c:v>2050</c:v>
                </c:pt>
                <c:pt idx="7">
                  <c:v>2039</c:v>
                </c:pt>
                <c:pt idx="13">
                  <c:v>2021</c:v>
                </c:pt>
                <c:pt idx="16">
                  <c:v>2039</c:v>
                </c:pt>
                <c:pt idx="19">
                  <c:v>2026</c:v>
                </c:pt>
                <c:pt idx="25">
                  <c:v>2055</c:v>
                </c:pt>
                <c:pt idx="28">
                  <c:v>2049</c:v>
                </c:pt>
                <c:pt idx="31">
                  <c:v>2046</c:v>
                </c:pt>
                <c:pt idx="34">
                  <c:v>2050</c:v>
                </c:pt>
                <c:pt idx="37">
                  <c:v>2032</c:v>
                </c:pt>
                <c:pt idx="40">
                  <c:v>2031</c:v>
                </c:pt>
                <c:pt idx="43">
                  <c:v>2038</c:v>
                </c:pt>
                <c:pt idx="46">
                  <c:v>2038</c:v>
                </c:pt>
                <c:pt idx="49">
                  <c:v>2038</c:v>
                </c:pt>
                <c:pt idx="52">
                  <c:v>2025</c:v>
                </c:pt>
                <c:pt idx="55">
                  <c:v>2027</c:v>
                </c:pt>
                <c:pt idx="58">
                  <c:v>2039</c:v>
                </c:pt>
                <c:pt idx="61">
                  <c:v>2034</c:v>
                </c:pt>
                <c:pt idx="64">
                  <c:v>2042</c:v>
                </c:pt>
                <c:pt idx="67">
                  <c:v>2038</c:v>
                </c:pt>
                <c:pt idx="70">
                  <c:v>2032</c:v>
                </c:pt>
                <c:pt idx="73">
                  <c:v>2041</c:v>
                </c:pt>
                <c:pt idx="76">
                  <c:v>2028</c:v>
                </c:pt>
                <c:pt idx="79">
                  <c:v>2030</c:v>
                </c:pt>
                <c:pt idx="82">
                  <c:v>2029</c:v>
                </c:pt>
                <c:pt idx="85">
                  <c:v>2051</c:v>
                </c:pt>
                <c:pt idx="88">
                  <c:v>2035</c:v>
                </c:pt>
                <c:pt idx="91">
                  <c:v>2023</c:v>
                </c:pt>
                <c:pt idx="94">
                  <c:v>2022</c:v>
                </c:pt>
                <c:pt idx="97">
                  <c:v>2045</c:v>
                </c:pt>
                <c:pt idx="100">
                  <c:v>2038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2F-6144-B0B1-640C17C2CFD3}"/>
            </c:ext>
          </c:extLst>
        </c:ser>
        <c:ser>
          <c:idx val="5"/>
          <c:order val="5"/>
          <c:tx>
            <c:strRef>
              <c:f>Tabelle1!$AE$2</c:f>
              <c:strCache>
                <c:ptCount val="1"/>
                <c:pt idx="0">
                  <c:v>2°C (CMIP6)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Tabelle1!$AE$3:$AE$103</c:f>
              <c:numCache>
                <c:formatCode>General</c:formatCode>
                <c:ptCount val="101"/>
                <c:pt idx="13">
                  <c:v>33</c:v>
                </c:pt>
                <c:pt idx="25">
                  <c:v>21</c:v>
                </c:pt>
                <c:pt idx="28">
                  <c:v>9</c:v>
                </c:pt>
                <c:pt idx="31">
                  <c:v>11</c:v>
                </c:pt>
                <c:pt idx="34">
                  <c:v>11</c:v>
                </c:pt>
                <c:pt idx="37">
                  <c:v>20</c:v>
                </c:pt>
                <c:pt idx="40">
                  <c:v>34</c:v>
                </c:pt>
                <c:pt idx="43">
                  <c:v>35</c:v>
                </c:pt>
                <c:pt idx="46">
                  <c:v>32</c:v>
                </c:pt>
                <c:pt idx="49">
                  <c:v>18</c:v>
                </c:pt>
                <c:pt idx="52">
                  <c:v>16</c:v>
                </c:pt>
                <c:pt idx="55">
                  <c:v>16</c:v>
                </c:pt>
                <c:pt idx="58">
                  <c:v>51</c:v>
                </c:pt>
                <c:pt idx="61">
                  <c:v>36</c:v>
                </c:pt>
                <c:pt idx="64">
                  <c:v>13</c:v>
                </c:pt>
                <c:pt idx="67">
                  <c:v>11</c:v>
                </c:pt>
                <c:pt idx="70">
                  <c:v>14</c:v>
                </c:pt>
                <c:pt idx="73">
                  <c:v>13</c:v>
                </c:pt>
                <c:pt idx="76">
                  <c:v>12</c:v>
                </c:pt>
                <c:pt idx="79">
                  <c:v>28</c:v>
                </c:pt>
                <c:pt idx="82">
                  <c:v>25</c:v>
                </c:pt>
                <c:pt idx="85">
                  <c:v>7</c:v>
                </c:pt>
                <c:pt idx="88">
                  <c:v>8</c:v>
                </c:pt>
                <c:pt idx="91">
                  <c:v>11</c:v>
                </c:pt>
                <c:pt idx="94">
                  <c:v>12</c:v>
                </c:pt>
                <c:pt idx="97">
                  <c:v>8</c:v>
                </c:pt>
                <c:pt idx="10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2F-6144-B0B1-640C17C2CFD3}"/>
            </c:ext>
          </c:extLst>
        </c:ser>
        <c:ser>
          <c:idx val="6"/>
          <c:order val="6"/>
          <c:tx>
            <c:strRef>
              <c:f>Tabelle1!$AF$2</c:f>
              <c:strCache>
                <c:ptCount val="1"/>
                <c:pt idx="0">
                  <c:v>3°C (CMIP6)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Tabelle1!$AF$3:$AF$103</c:f>
              <c:numCache>
                <c:formatCode>General</c:formatCode>
                <c:ptCount val="101"/>
                <c:pt idx="52">
                  <c:v>28</c:v>
                </c:pt>
                <c:pt idx="55">
                  <c:v>27</c:v>
                </c:pt>
                <c:pt idx="64">
                  <c:v>21</c:v>
                </c:pt>
                <c:pt idx="67">
                  <c:v>17</c:v>
                </c:pt>
                <c:pt idx="70">
                  <c:v>16</c:v>
                </c:pt>
                <c:pt idx="73">
                  <c:v>23</c:v>
                </c:pt>
                <c:pt idx="76">
                  <c:v>19</c:v>
                </c:pt>
                <c:pt idx="79">
                  <c:v>15</c:v>
                </c:pt>
                <c:pt idx="82">
                  <c:v>23</c:v>
                </c:pt>
                <c:pt idx="85">
                  <c:v>18</c:v>
                </c:pt>
                <c:pt idx="88">
                  <c:v>15</c:v>
                </c:pt>
                <c:pt idx="91">
                  <c:v>22</c:v>
                </c:pt>
                <c:pt idx="94">
                  <c:v>22</c:v>
                </c:pt>
                <c:pt idx="97">
                  <c:v>24</c:v>
                </c:pt>
                <c:pt idx="10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2F-6144-B0B1-640C17C2CFD3}"/>
            </c:ext>
          </c:extLst>
        </c:ser>
        <c:ser>
          <c:idx val="7"/>
          <c:order val="7"/>
          <c:tx>
            <c:strRef>
              <c:f>Tabelle1!$AG$2</c:f>
              <c:strCache>
                <c:ptCount val="1"/>
                <c:pt idx="0">
                  <c:v>4°C (CMIP6)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Tabelle1!$X$3:$X$103</c:f>
              <c:strCache>
                <c:ptCount val="100"/>
                <c:pt idx="0">
                  <c:v>ICHEC-EC-EARTH_rcp26_r12i1p1_CLMcom-CCLM4-8-17</c:v>
                </c:pt>
                <c:pt idx="3">
                  <c:v>ICHEC-EC-EARTH_rcp26_r12i1p1_KNMI-RACMO22E</c:v>
                </c:pt>
                <c:pt idx="6">
                  <c:v>ICHEC-EC-EARTH_rcp26_r12i1p1_SMHI-RCA4</c:v>
                </c:pt>
                <c:pt idx="9">
                  <c:v>ICHEC-EC-EARTH_rcp26_r3i1p1_DMI-HIRHAM5</c:v>
                </c:pt>
                <c:pt idx="12">
                  <c:v>MOHC-HadGEM2-ES_rcp26_r1i1p1_SMHI-RCA4</c:v>
                </c:pt>
                <c:pt idx="15">
                  <c:v>MPI-M-MPI-ESM-LR_rcp26_r1i1p1_MPI-CSC-REMO2009</c:v>
                </c:pt>
                <c:pt idx="18">
                  <c:v>MPI-M-MPI-ESM-LR_rcp26_r1i1p1_SMHI-RCA4</c:v>
                </c:pt>
                <c:pt idx="21">
                  <c:v>MPI-M-MPI-ESM-LR_rcp26_r2i1p1_MPI-CSC-REMO2009</c:v>
                </c:pt>
                <c:pt idx="24">
                  <c:v>CNRM-CERFACS-CNRM-CM5_rcp45_r1i1p1_CLMcom-CCLM4-8-17</c:v>
                </c:pt>
                <c:pt idx="27">
                  <c:v>CNRM-CERFACS-CNRM-CM5_rcp45_r1i1p1_CNRM-ALADIN53</c:v>
                </c:pt>
                <c:pt idx="30">
                  <c:v>CNRM-CERFACS-CNRM-CM5_rcp45_r1i1p1_SMHI-RCA4</c:v>
                </c:pt>
                <c:pt idx="33">
                  <c:v>ICHEC-EC-EARTH_rcp45_r12i1p1_CLMcom-CCLM4-8-17</c:v>
                </c:pt>
                <c:pt idx="36">
                  <c:v>ICHEC-EC-EARTH_rcp45_r12i1p1_SMHI-RCA4</c:v>
                </c:pt>
                <c:pt idx="39">
                  <c:v>ICHEC-EC-EARTH_rcp45_r1i1p1_KNMI-RACMO22E</c:v>
                </c:pt>
                <c:pt idx="42">
                  <c:v>ICHEC-EC-EARTH_rcp45_r3i1p1_DMI-HIRHAM5</c:v>
                </c:pt>
                <c:pt idx="45">
                  <c:v>IPSL-IPSL-CM5A-MR_rcp45_r1i1p1_IPSL-INERIS-WRF331F</c:v>
                </c:pt>
                <c:pt idx="48">
                  <c:v>IPSL-IPSL-CM5A-MR_rcp45_r1i1p1_SMHI-RCA4</c:v>
                </c:pt>
                <c:pt idx="51">
                  <c:v>MOHC-HadGEM2-ES_rcp45_r1i1p1_CLMcom-CCLM4-8-17</c:v>
                </c:pt>
                <c:pt idx="54">
                  <c:v>MOHC-HadGEM2-ES_rcp45_r1i1p1_SMHI-RCA4</c:v>
                </c:pt>
                <c:pt idx="57">
                  <c:v>MPI-M-MPI-ESM-LR_rcp45_r1i1p1_CLMcom-CCLM4-8-17</c:v>
                </c:pt>
                <c:pt idx="60">
                  <c:v>MPI-M-MPI-ESM-LR_rcp45_r1i1p1_SMHI-RCA4</c:v>
                </c:pt>
                <c:pt idx="63">
                  <c:v>CNRM-CERFACS-CNRM-CM5_rcp85_r1i1p1_CLMcom-CCLM4-8-17</c:v>
                </c:pt>
                <c:pt idx="66">
                  <c:v>CNRM-CERFACS-CNRM-CM5_rcp85_r1i1p1_CNRM-ALADIN53</c:v>
                </c:pt>
                <c:pt idx="69">
                  <c:v>CNRM-CERFACS-CNRM-CM5_rcp85_r1i1p1_SMHI-RCA4</c:v>
                </c:pt>
                <c:pt idx="72">
                  <c:v>ICHEC-EC-EARTH_rcp85_r12i1p1_CLMcom-CCLM4-8-17</c:v>
                </c:pt>
                <c:pt idx="75">
                  <c:v>ICHEC-EC-EARTH_rcp85_r12i1p1_SMHI-RCA4</c:v>
                </c:pt>
                <c:pt idx="78">
                  <c:v>ICHEC-EC-EARTH_rcp85_r1i1p1_KNMI-RACMO22E</c:v>
                </c:pt>
                <c:pt idx="81">
                  <c:v>ICHEC-EC-EARTH_rcp85_r3i1p1_DMI-HIRHAM5</c:v>
                </c:pt>
                <c:pt idx="84">
                  <c:v>IPSL-IPSL-CM5A-MR_rcp85_r1i1p1_IPSL-INERIS-WRF331F</c:v>
                </c:pt>
                <c:pt idx="87">
                  <c:v>IPSL-IPSL-CM5A-MR_rcp85_r1i1p1_SMHI-RCA4</c:v>
                </c:pt>
                <c:pt idx="90">
                  <c:v>MOHC-HadGEM2-ES_rcp85_r1i1p1_CLMcom-CCLM4-8-17</c:v>
                </c:pt>
                <c:pt idx="93">
                  <c:v>MOHC-HadGEM2-ES_rcp85_r1i1p1_SMHI-RCA4</c:v>
                </c:pt>
                <c:pt idx="96">
                  <c:v>MPI-M-MPI-ESM-LR_rcp85_r1i1p1_CLMcom-CCLM4-8-17</c:v>
                </c:pt>
                <c:pt idx="99">
                  <c:v>MPI-M-MPI-ESM-LR_rcp85_r1i1p1_SMHI-RCA4</c:v>
                </c:pt>
              </c:strCache>
            </c:strRef>
          </c:cat>
          <c:val>
            <c:numRef>
              <c:f>Tabelle1!$AG$3:$AG$103</c:f>
              <c:numCache>
                <c:formatCode>General</c:formatCode>
                <c:ptCount val="101"/>
                <c:pt idx="67">
                  <c:v>17</c:v>
                </c:pt>
                <c:pt idx="70">
                  <c:v>18</c:v>
                </c:pt>
                <c:pt idx="73">
                  <c:v>13</c:v>
                </c:pt>
                <c:pt idx="76">
                  <c:v>18</c:v>
                </c:pt>
                <c:pt idx="79">
                  <c:v>14</c:v>
                </c:pt>
                <c:pt idx="88">
                  <c:v>13</c:v>
                </c:pt>
                <c:pt idx="91">
                  <c:v>11</c:v>
                </c:pt>
                <c:pt idx="94">
                  <c:v>14</c:v>
                </c:pt>
                <c:pt idx="10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2F-6144-B0B1-640C17C2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063647487"/>
        <c:axId val="1660275343"/>
      </c:barChart>
      <c:catAx>
        <c:axId val="206364748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0275343"/>
        <c:crosses val="autoZero"/>
        <c:auto val="0"/>
        <c:lblAlgn val="ctr"/>
        <c:lblOffset val="100"/>
        <c:tickLblSkip val="1"/>
        <c:noMultiLvlLbl val="1"/>
      </c:catAx>
      <c:valAx>
        <c:axId val="1660275343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647487"/>
        <c:crosses val="max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tr"/>
      <c:layout>
        <c:manualLayout>
          <c:xMode val="edge"/>
          <c:yMode val="edge"/>
          <c:x val="0.83330635356393812"/>
          <c:y val="2.7570984334577494E-2"/>
          <c:w val="0.14215422223014204"/>
          <c:h val="0.24433884802793138"/>
        </c:manualLayout>
      </c:layout>
      <c:overlay val="1"/>
      <c:spPr>
        <a:solidFill>
          <a:schemeClr val="bg1"/>
        </a:solidFill>
        <a:ln>
          <a:solidFill>
            <a:srgbClr val="DADADA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1"/>
              <a:t>Temperature</a:t>
            </a:r>
            <a:r>
              <a:rPr lang="de-DE" sz="1400" b="1" baseline="0"/>
              <a:t> signals of OEKS15 models vs. GCM background models for all GWLs</a:t>
            </a:r>
            <a:endParaRPr lang="de-DE" sz="1400" b="1"/>
          </a:p>
        </c:rich>
      </c:tx>
      <c:layout>
        <c:manualLayout>
          <c:xMode val="edge"/>
          <c:yMode val="edge"/>
          <c:x val="0.15607556854496674"/>
          <c:y val="4.2527140032163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3045102087654485E-2"/>
          <c:y val="0.13695966934728043"/>
          <c:w val="0.88293696330744209"/>
          <c:h val="0.7453041974824428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9.1273561765386219E-3"/>
                  <c:y val="-2.8291533046607042E-2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CMIP5 GCMs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0.34416939631084215"/>
              <c:y val="0.947080732480985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Temperature</a:t>
                </a:r>
                <a:r>
                  <a:rPr lang="de-DE" sz="1200" baseline="0"/>
                  <a:t> signal (vs. 1991-2020) of OEKS15 models</a:t>
                </a:r>
                <a:endParaRPr lang="de-DE" sz="1200"/>
              </a:p>
            </c:rich>
          </c:tx>
          <c:layout>
            <c:manualLayout>
              <c:xMode val="edge"/>
              <c:yMode val="edge"/>
              <c:x val="1.3277052246216088E-2"/>
              <c:y val="0.226712365017401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solidFill>
            <a:srgbClr val="DADADA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val">
        <cx:f>_xlchart.v1.11</cx:f>
      </cx:numDim>
    </cx:data>
    <cx:data id="1">
      <cx:strDim type="cat">
        <cx:f>_xlchart.v1.8</cx:f>
      </cx:strDim>
      <cx:numDim type="val">
        <cx:f>_xlchart.v1.12</cx:f>
      </cx:numDim>
    </cx:data>
    <cx:data id="2">
      <cx:strDim type="cat">
        <cx:f>_xlchart.v1.8</cx:f>
      </cx:strDim>
      <cx:numDim type="val">
        <cx:f>_xlchart.v1.14</cx:f>
      </cx:numDim>
    </cx:data>
    <cx:data id="3">
      <cx:strDim type="cat">
        <cx:f>_xlchart.v1.8</cx:f>
      </cx:strDim>
      <cx:numDim type="val">
        <cx:f>_xlchart.v1.15</cx:f>
      </cx:numDim>
    </cx:data>
  </cx:chartData>
  <cx:chart>
    <cx:title pos="t" align="ctr" overlay="0">
      <cx:tx>
        <cx:txData>
          <cx:v>Date of reaching GWLs: CMIP6 - CMIP5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CMIP6 - CMIP5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 formatIdx="6">
          <cx:tx>
            <cx:txData>
              <cx:f/>
              <cx:v>2.0°C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 formatIdx="10">
          <cx:tx>
            <cx:txData>
              <cx:f/>
              <cx:v>3.0°C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 formatIdx="14">
          <cx:tx>
            <cx:txData>
              <cx:f/>
              <cx:v>4.0°C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Difference (years)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Difference (years)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_xlchart.v1.32</cx:f>
      </cx:numDim>
    </cx:data>
    <cx:data id="1">
      <cx:numDim type="val">
        <cx:f>_xlchart.v1.24</cx:f>
      </cx:numDim>
    </cx:data>
    <cx:data id="2">
      <cx:numDim type="val">
        <cx:f>_xlchart.v1.28</cx:f>
      </cx:numDim>
    </cx:data>
    <cx:data id="3"/>
    <cx:data id="4">
      <cx:numDim type="val">
        <cx:f>_xlchart.v1.33</cx:f>
      </cx:numDim>
    </cx:data>
    <cx:data id="5">
      <cx:numDim type="val">
        <cx:f>_xlchart.v1.25</cx:f>
      </cx:numDim>
    </cx:data>
    <cx:data id="6">
      <cx:numDim type="val">
        <cx:f>_xlchart.v1.29</cx:f>
      </cx:numDim>
    </cx:data>
    <cx:data id="7"/>
    <cx:data id="8">
      <cx:numDim type="val">
        <cx:f>_xlchart.v1.34</cx:f>
      </cx:numDim>
    </cx:data>
    <cx:data id="9">
      <cx:numDim type="val">
        <cx:f>_xlchart.v1.26</cx:f>
      </cx:numDim>
    </cx:data>
    <cx:data id="10">
      <cx:numDim type="val">
        <cx:f>_xlchart.v1.30</cx:f>
      </cx:numDim>
    </cx:data>
    <cx:data id="11"/>
    <cx:data id="12">
      <cx:numDim type="val">
        <cx:f>_xlchart.v1.35</cx:f>
      </cx:numDim>
    </cx:data>
    <cx:data id="13">
      <cx:numDim type="val">
        <cx:f>_xlchart.v1.27</cx:f>
      </cx:numDim>
    </cx:data>
    <cx:data id="14">
      <cx:numDim type="val">
        <cx:f>_xlchart.v1.31</cx:f>
      </cx:numDim>
    </cx:data>
  </cx:chartData>
  <cx:chart>
    <cx:title pos="t" align="ctr" overlay="0">
      <cx:tx>
        <cx:txData>
          <cx:v>Date of reaching GWLs: CMIP5 (OEKS15)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CMIP5 (OEKS15) vs. CMIP5 (whole ensemble) vs. CMIP6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 OEKS15 (16)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1.5°C CMIP5 (25)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1.5°C CMIP6 (178)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2.0°C OEKS15 (12)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2.0°C CMIP5 (22)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2.0°C CMIP6 (160)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3.0°C OEKS15 (9)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3.0°C CMIP5 (12)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3.0°C CMIP6 (105)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4.0°C OEKS15 (5)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4.0°C CMIP5 (7)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4.0°C CMIP6 (54)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_xlchart.v1.38</cx:f>
      </cx:numDim>
    </cx:data>
    <cx:data id="1">
      <cx:numDim type="val">
        <cx:f>_xlchart.v1.36</cx:f>
      </cx:numDim>
    </cx:data>
    <cx:data id="2">
      <cx:numDim type="val">
        <cx:f>_xlchart.v1.37</cx:f>
      </cx:numDim>
    </cx:data>
    <cx:data id="3">
      <cx:numDim type="val">
        <cx:f>_xlchart.v1.42</cx:f>
      </cx:numDim>
    </cx:data>
    <cx:data id="4">
      <cx:numDim type="val">
        <cx:f>_xlchart.v1.41</cx:f>
      </cx:numDim>
    </cx:data>
    <cx:data id="5">
      <cx:numDim type="val">
        <cx:f>_xlchart.v1.39</cx:f>
      </cx:numDim>
    </cx:data>
    <cx:data id="6">
      <cx:numDim type="val">
        <cx:f>_xlchart.v1.40</cx:f>
      </cx:numDim>
    </cx:data>
  </cx:chartData>
  <cx:chart>
    <cx:title pos="t" align="ctr" overlay="0">
      <cx:tx>
        <cx:txData>
          <cx:v>Date of reaching GWLs for three RCPs within the CMIP5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three RCPs within the CMIP5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RCP 2.6 (8)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 4.5 (8)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 8.5 (9)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 2.6 (5)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 4.5 (8)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 8.5 (9)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_xlchart.v1.43</cx:f>
      </cx:numDim>
    </cx:data>
    <cx:data id="1">
      <cx:numDim type="val">
        <cx:f>_xlchart.v1.47</cx:f>
      </cx:numDim>
    </cx:data>
    <cx:data id="2">
      <cx:numDim type="val">
        <cx:f>_xlchart.v1.44</cx:f>
      </cx:numDim>
    </cx:data>
    <cx:data id="3">
      <cx:numDim type="val">
        <cx:f>_xlchart.v1.48</cx:f>
      </cx:numDim>
    </cx:data>
    <cx:data id="4">
      <cx:numDim type="val">
        <cx:f>_xlchart.v1.45</cx:f>
      </cx:numDim>
    </cx:data>
    <cx:data id="5">
      <cx:numDim type="val">
        <cx:f>_xlchart.v1.49</cx:f>
      </cx:numDim>
    </cx:data>
    <cx:data id="6">
      <cx:numDim type="val">
        <cx:f>_xlchart.v1.46</cx:f>
      </cx:numDim>
    </cx:data>
    <cx:data id="7">
      <cx:numDim type="val">
        <cx:f>_xlchart.v1.50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Regional climate change signal (relative to 1991-2020) over Austria for four GWLs:</a:t>
            </a:r>
          </a:p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 formatIdx="0">
          <cx:tx>
            <cx:txData>
              <cx:f/>
              <cx:v>1.5°C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3-BC21-524E-A645-D6D07820167B}" formatIdx="1">
          <cx:tx>
            <cx:txData>
              <cx:f/>
              <cx:v>1.5°C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4-BC21-524E-A645-D6D07820167B}" formatIdx="2">
          <cx:tx>
            <cx:txData>
              <cx:f/>
              <cx:v>2.0°C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5-BC21-524E-A645-D6D07820167B}" formatIdx="3">
          <cx:tx>
            <cx:txData>
              <cx:f/>
              <cx:v>2.0°C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meanMarker="0" nonoutliers="0"/>
            <cx:statistics quartileMethod="exclusive"/>
          </cx:layoutPr>
        </cx:series>
        <cx:series layoutId="boxWhisker" uniqueId="{00000006-BC21-524E-A645-D6D07820167B}" formatIdx="4">
          <cx:tx>
            <cx:txData>
              <cx:f/>
              <cx:v>3.0°C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7-BC21-524E-A645-D6D07820167B}" formatIdx="5">
          <cx:tx>
            <cx:txData>
              <cx:f/>
              <cx:v>3.0°C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8-BC21-524E-A645-D6D07820167B}" formatIdx="6">
          <cx:tx>
            <cx:txData>
              <cx:f/>
              <cx:v>4.0°C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9-BC21-524E-A645-D6D07820167B}" formatIdx="7">
          <cx:tx>
            <cx:txData>
              <cx:f/>
              <cx:v>4.0°C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Mean temperature change relative to 1991-2020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Mean temperature change relative to 1991-2020 (°C)</a:t>
              </a:r>
            </a:p>
          </cx:txPr>
        </cx:title>
        <cx:majorGridlines/>
        <cx:minorGridlines/>
        <cx:majorTickMarks type="out"/>
        <cx:tickLabels/>
        <cx:numFmt formatCode="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_xlchart.v1.56</cx:f>
      </cx:numDim>
    </cx:data>
    <cx:data id="1">
      <cx:numDim type="val">
        <cx:f>_xlchart.v1.58</cx:f>
      </cx:numDim>
    </cx:data>
    <cx:data id="2">
      <cx:numDim type="val">
        <cx:f>_xlchart.v1.60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_xlchart.v1.55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_xlchart.v1.57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_xlchart.v1.59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_xlchart.v1.51</cx:f>
      </cx:numDim>
    </cx:data>
    <cx:data id="1">
      <cx:numDim type="val">
        <cx:f>_xlchart.v1.52</cx:f>
      </cx:numDim>
    </cx:data>
    <cx:data id="2">
      <cx:numDim type="val">
        <cx:f>_xlchart.v1.53</cx:f>
      </cx:numDim>
    </cx:data>
    <cx:data id="3">
      <cx:numDim type="val">
        <cx:f>_xlchart.v1.54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157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8EA504-C311-924C-B0E6-2A79EDCC7AE2}">
  <sheetPr/>
  <sheetViews>
    <sheetView zoomScale="154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124E05-D85C-4F47-8C76-6948FF9502F5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36" workbookViewId="0"/>
  </sheetViews>
  <pageMargins left="0.7" right="0.7" top="0.78740157499999996" bottom="0.78740157499999996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637" cy="6026433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0584" cy="6020130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E0B6673-C099-03F4-E7D2-0B377B114A4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5E9D802E-1C3D-4831-5A0B-067C6CE4898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C9B71349-A477-D0B0-32B6-299BB994A580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F612B5EB-D370-1250-4EA7-720EA177CA12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A203CBF0-CAAF-7970-43E9-62CAF5A5D3B3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19559" cy="6032500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811FE273-AAEF-4DC7-3615-47AC8D4ABAE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9559" cy="6032500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  <cell r="L3"/>
          <cell r="M3"/>
        </row>
        <row r="4">
          <cell r="B4">
            <v>2044</v>
          </cell>
          <cell r="J4">
            <v>0.83663283039253999</v>
          </cell>
          <cell r="K4"/>
          <cell r="L4"/>
          <cell r="M4"/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  <cell r="L5"/>
          <cell r="M5"/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  <cell r="L6"/>
          <cell r="M6"/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  <cell r="L7"/>
          <cell r="M7"/>
        </row>
        <row r="8">
          <cell r="B8">
            <v>2085</v>
          </cell>
          <cell r="J8">
            <v>1.41822244149666</v>
          </cell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  <cell r="L10"/>
          <cell r="M10"/>
        </row>
        <row r="11">
          <cell r="B11">
            <v>2023</v>
          </cell>
          <cell r="J11">
            <v>0.46622947410301602</v>
          </cell>
          <cell r="K11"/>
          <cell r="L11"/>
          <cell r="M11"/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  <cell r="M12"/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  <cell r="L13"/>
          <cell r="M13"/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  <cell r="M14"/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  <cell r="M15"/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  <cell r="L16"/>
          <cell r="M16"/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  <cell r="L17"/>
          <cell r="M17"/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  <cell r="L18"/>
          <cell r="M18"/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  <cell r="L19"/>
          <cell r="M19"/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2023</v>
          </cell>
          <cell r="C23">
            <v>2035</v>
          </cell>
          <cell r="D23">
            <v>2055</v>
          </cell>
          <cell r="E23">
            <v>2071</v>
          </cell>
          <cell r="J23">
            <v>1.2547776910347199</v>
          </cell>
          <cell r="K23">
            <v>1.8814544179047701</v>
          </cell>
          <cell r="L23">
            <v>3.3167032989732199</v>
          </cell>
          <cell r="M23">
            <v>4.9136741564842401</v>
          </cell>
        </row>
        <row r="24">
          <cell r="B24">
            <v>2011</v>
          </cell>
          <cell r="C24">
            <v>2027</v>
          </cell>
          <cell r="D24">
            <v>2048</v>
          </cell>
          <cell r="E24">
            <v>2066</v>
          </cell>
          <cell r="J24">
            <v>0.27716342078308198</v>
          </cell>
          <cell r="K24">
            <v>0.97698444790303796</v>
          </cell>
          <cell r="L24">
            <v>2.1671324835882499</v>
          </cell>
          <cell r="M24">
            <v>3.4109224743312501</v>
          </cell>
        </row>
        <row r="25">
          <cell r="B25">
            <v>2034</v>
          </cell>
          <cell r="C25">
            <v>2048</v>
          </cell>
          <cell r="D25">
            <v>2070</v>
          </cell>
          <cell r="J25">
            <v>0.69072337680391005</v>
          </cell>
          <cell r="K25">
            <v>1.39141197204587</v>
          </cell>
          <cell r="L25">
            <v>2.5225286695692</v>
          </cell>
          <cell r="M25"/>
        </row>
        <row r="26">
          <cell r="B26">
            <v>2033</v>
          </cell>
          <cell r="C26">
            <v>2050</v>
          </cell>
          <cell r="D26">
            <v>2074</v>
          </cell>
          <cell r="J26">
            <v>0.78084819934989003</v>
          </cell>
          <cell r="K26">
            <v>1.1650189858895901</v>
          </cell>
          <cell r="L26">
            <v>2.51032525521738</v>
          </cell>
          <cell r="M26"/>
        </row>
        <row r="27">
          <cell r="B27">
            <v>2011</v>
          </cell>
          <cell r="C27">
            <v>2029</v>
          </cell>
          <cell r="D27">
            <v>2060</v>
          </cell>
          <cell r="E27">
            <v>2086</v>
          </cell>
          <cell r="J27">
            <v>0.19708605850399499</v>
          </cell>
          <cell r="K27">
            <v>0.85248630903591305</v>
          </cell>
          <cell r="L27">
            <v>2.72245074781776</v>
          </cell>
          <cell r="M27">
            <v>3.5750805834353399</v>
          </cell>
        </row>
        <row r="28">
          <cell r="B28">
            <v>2020</v>
          </cell>
          <cell r="C28">
            <v>2037</v>
          </cell>
          <cell r="D28">
            <v>2060</v>
          </cell>
          <cell r="E28">
            <v>2084</v>
          </cell>
          <cell r="J28">
            <v>0.25636699817790398</v>
          </cell>
          <cell r="K28">
            <v>1.4150692127368201</v>
          </cell>
          <cell r="L28">
            <v>2.2598840219002199</v>
          </cell>
          <cell r="M28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J3"/>
          <cell r="K3"/>
          <cell r="L3"/>
          <cell r="M3"/>
        </row>
        <row r="4">
          <cell r="B4">
            <v>2068</v>
          </cell>
          <cell r="J4">
            <v>0.953297643723377</v>
          </cell>
          <cell r="K4"/>
          <cell r="L4"/>
          <cell r="M4"/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  <cell r="L5"/>
          <cell r="M5"/>
        </row>
        <row r="6">
          <cell r="B6">
            <v>2030</v>
          </cell>
          <cell r="J6">
            <v>0.962655414052216</v>
          </cell>
          <cell r="K6"/>
          <cell r="L6"/>
          <cell r="M6"/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  <cell r="L7"/>
          <cell r="M7"/>
        </row>
        <row r="8">
          <cell r="J8"/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  <cell r="L10"/>
          <cell r="M10"/>
        </row>
        <row r="11">
          <cell r="J11"/>
          <cell r="K11"/>
          <cell r="L11"/>
          <cell r="M11"/>
        </row>
        <row r="12">
          <cell r="J12"/>
          <cell r="K12"/>
          <cell r="L12"/>
          <cell r="M12"/>
        </row>
        <row r="13">
          <cell r="J13"/>
          <cell r="K13"/>
          <cell r="L13"/>
          <cell r="M13"/>
        </row>
        <row r="14">
          <cell r="B14">
            <v>2031</v>
          </cell>
          <cell r="J14">
            <v>1.1676970687033701</v>
          </cell>
          <cell r="K14"/>
          <cell r="L14"/>
          <cell r="M14"/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  <cell r="L15"/>
          <cell r="M15"/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  <cell r="L16"/>
          <cell r="M16"/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  <cell r="L17"/>
          <cell r="M17"/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  <cell r="L18"/>
          <cell r="M18"/>
        </row>
        <row r="19">
          <cell r="B19">
            <v>2042</v>
          </cell>
          <cell r="J19">
            <v>0.50765736677745898</v>
          </cell>
          <cell r="K19"/>
          <cell r="L19"/>
          <cell r="M19"/>
        </row>
        <row r="20">
          <cell r="J20"/>
          <cell r="K20"/>
          <cell r="L20"/>
          <cell r="M20"/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  <cell r="L21"/>
          <cell r="M21"/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  <cell r="L22"/>
          <cell r="M22"/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  <cell r="L23"/>
          <cell r="M23"/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  <cell r="L24"/>
          <cell r="M24"/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  <cell r="L25"/>
          <cell r="M25"/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  <cell r="L26"/>
          <cell r="M26"/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  <cell r="L27"/>
          <cell r="M27"/>
        </row>
        <row r="28">
          <cell r="B28">
            <v>2048</v>
          </cell>
          <cell r="J28">
            <v>1.0283560461610499</v>
          </cell>
          <cell r="K28"/>
          <cell r="L28"/>
          <cell r="M28"/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  <cell r="L29"/>
          <cell r="M29"/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  <cell r="L30"/>
          <cell r="M30"/>
        </row>
        <row r="31">
          <cell r="B31">
            <v>2031</v>
          </cell>
          <cell r="J31">
            <v>1.0129333473675</v>
          </cell>
          <cell r="K31"/>
          <cell r="L31"/>
          <cell r="M31"/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  <cell r="L32"/>
          <cell r="M32"/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  <cell r="L33"/>
          <cell r="M33"/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  <cell r="L34"/>
          <cell r="M34"/>
        </row>
        <row r="35">
          <cell r="J35"/>
          <cell r="K35"/>
          <cell r="L35"/>
          <cell r="M35"/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  <cell r="L36"/>
          <cell r="M36"/>
        </row>
        <row r="37">
          <cell r="J37"/>
          <cell r="K37"/>
          <cell r="L37"/>
          <cell r="M37"/>
        </row>
        <row r="38">
          <cell r="B38">
            <v>2032</v>
          </cell>
          <cell r="J38">
            <v>1.47924744842162</v>
          </cell>
          <cell r="K38"/>
          <cell r="L38"/>
          <cell r="M38"/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  <cell r="L39"/>
          <cell r="M39"/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  <cell r="L40"/>
          <cell r="M40"/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  <cell r="L41"/>
          <cell r="M41"/>
        </row>
        <row r="42">
          <cell r="B42">
            <v>2046</v>
          </cell>
          <cell r="J42">
            <v>0.81285915249012197</v>
          </cell>
          <cell r="K42"/>
          <cell r="L42"/>
          <cell r="M42"/>
        </row>
        <row r="43">
          <cell r="B43">
            <v>2051</v>
          </cell>
          <cell r="J43">
            <v>0.85479150373844803</v>
          </cell>
          <cell r="K43"/>
          <cell r="L43"/>
          <cell r="M43"/>
        </row>
        <row r="44">
          <cell r="B44">
            <v>2037</v>
          </cell>
          <cell r="J44">
            <v>1.24668562684192</v>
          </cell>
          <cell r="K44"/>
          <cell r="L44"/>
          <cell r="M44"/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  <cell r="L46"/>
          <cell r="M46"/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  <cell r="L47"/>
          <cell r="M47"/>
        </row>
        <row r="48">
          <cell r="B48">
            <v>2021</v>
          </cell>
          <cell r="J48">
            <v>0.31548891067506302</v>
          </cell>
          <cell r="K48"/>
          <cell r="L48"/>
          <cell r="M48"/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  <cell r="L49"/>
          <cell r="M49"/>
        </row>
        <row r="50">
          <cell r="B50">
            <v>2042</v>
          </cell>
          <cell r="J50">
            <v>1.58398556179473</v>
          </cell>
          <cell r="K50"/>
          <cell r="L50"/>
          <cell r="M50"/>
        </row>
        <row r="51">
          <cell r="B51">
            <v>2064</v>
          </cell>
          <cell r="J51">
            <v>1.5601286800869001</v>
          </cell>
          <cell r="K51"/>
          <cell r="L51"/>
          <cell r="M51"/>
        </row>
        <row r="52">
          <cell r="B52">
            <v>2042</v>
          </cell>
          <cell r="J52">
            <v>0.89465247498328804</v>
          </cell>
          <cell r="K52"/>
          <cell r="L52"/>
          <cell r="M52"/>
        </row>
        <row r="53">
          <cell r="B53">
            <v>2043</v>
          </cell>
          <cell r="J53">
            <v>1.4470739576551801</v>
          </cell>
          <cell r="K53"/>
          <cell r="L53"/>
          <cell r="M53"/>
        </row>
        <row r="54">
          <cell r="B54">
            <v>2030</v>
          </cell>
          <cell r="J54">
            <v>0.93532776547523599</v>
          </cell>
          <cell r="K54"/>
          <cell r="L54"/>
          <cell r="M54"/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  <cell r="L55"/>
          <cell r="M55"/>
        </row>
        <row r="56">
          <cell r="J56"/>
          <cell r="K56"/>
          <cell r="L56"/>
          <cell r="M56"/>
        </row>
        <row r="57">
          <cell r="J57"/>
          <cell r="K57"/>
          <cell r="L57"/>
          <cell r="M57"/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  <cell r="L58"/>
          <cell r="M58"/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  <cell r="L59"/>
          <cell r="M59"/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  <cell r="M60"/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  <cell r="L61"/>
          <cell r="M61"/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  <cell r="L62"/>
          <cell r="M62"/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  <cell r="L63"/>
          <cell r="M63"/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  <cell r="L64"/>
          <cell r="M64"/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  <cell r="M65"/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  <cell r="M66"/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  <cell r="M67"/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  <cell r="M68"/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  <cell r="M69"/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  <cell r="M70"/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  <cell r="M71"/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  <cell r="M72"/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  <cell r="M75"/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  <cell r="M76"/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  <cell r="M77"/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  <cell r="M78"/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  <cell r="L79"/>
          <cell r="M79"/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  <cell r="L80"/>
          <cell r="M80"/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  <cell r="M81"/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  <cell r="L82"/>
          <cell r="M82"/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  <cell r="L83"/>
          <cell r="M83"/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  <cell r="L84"/>
          <cell r="M84"/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  <cell r="L85"/>
          <cell r="M85"/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  <cell r="M86"/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  <cell r="M87"/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  <cell r="L88"/>
          <cell r="M88"/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  <cell r="L89"/>
          <cell r="M89"/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  <cell r="L90"/>
          <cell r="M90"/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  <cell r="M91"/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  <cell r="M92"/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  <cell r="L93"/>
          <cell r="M93"/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  <cell r="L94"/>
          <cell r="M94"/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  <cell r="L95"/>
          <cell r="M95"/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  <cell r="L96"/>
          <cell r="M96"/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  <cell r="L97"/>
          <cell r="M97"/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  <cell r="L98"/>
          <cell r="M98"/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  <cell r="L99"/>
          <cell r="M99"/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  <cell r="L100"/>
          <cell r="M100"/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  <cell r="L101"/>
          <cell r="M101"/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  <cell r="L102"/>
          <cell r="M102"/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  <cell r="M103"/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  <cell r="M106"/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  <cell r="M107"/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  <cell r="M108"/>
        </row>
        <row r="109">
          <cell r="B109">
            <v>2042</v>
          </cell>
          <cell r="J109">
            <v>1.5657428882740401</v>
          </cell>
          <cell r="K109"/>
          <cell r="L109"/>
          <cell r="M109"/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  <cell r="L110"/>
          <cell r="M110"/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  <cell r="M111"/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  <cell r="M125"/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  <cell r="M126"/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  <cell r="M127"/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  <cell r="M128"/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  <cell r="M129"/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  <cell r="M130"/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  <cell r="M131"/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  <cell r="M132"/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  <cell r="M136"/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  <cell r="M137"/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  <cell r="L138"/>
          <cell r="M138"/>
        </row>
        <row r="139">
          <cell r="B139">
            <v>2043</v>
          </cell>
          <cell r="J139">
            <v>1.4871546851264099</v>
          </cell>
          <cell r="K139"/>
          <cell r="L139"/>
          <cell r="M139"/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  <cell r="M140"/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  <cell r="M141"/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  <cell r="M142"/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  <cell r="L143"/>
          <cell r="M143"/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  <cell r="M144"/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  <cell r="M150"/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  <cell r="M151"/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  <cell r="M167"/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  <cell r="M171"/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  <cell r="M175"/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  <cell r="M176"/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  <cell r="M177"/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  <cell r="M180"/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  <cell r="M182"/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  <cell r="M183"/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  <cell r="M184"/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  <cell r="M185"/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  <cell r="M188"/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  <cell r="M189"/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workbookViewId="0">
      <selection activeCell="I16" sqref="I16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W47"/>
  <sheetViews>
    <sheetView zoomScaleNormal="100" workbookViewId="0">
      <selection sqref="A1:R40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27" t="s">
        <v>0</v>
      </c>
      <c r="B1" s="27"/>
      <c r="C1" s="27" t="s">
        <v>1</v>
      </c>
      <c r="D1" s="27"/>
      <c r="E1" s="27"/>
      <c r="F1" s="27"/>
      <c r="G1" s="27" t="s">
        <v>2</v>
      </c>
      <c r="H1" s="27"/>
      <c r="I1" s="27"/>
      <c r="J1" s="27"/>
      <c r="K1" s="27" t="s">
        <v>90</v>
      </c>
      <c r="L1" s="27"/>
      <c r="M1" s="27"/>
      <c r="N1" s="27"/>
      <c r="O1" s="27" t="s">
        <v>91</v>
      </c>
      <c r="P1" s="27"/>
      <c r="Q1" s="27"/>
      <c r="R1" s="27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s="9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s="9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s="9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s="10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s="11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s="11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s="12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s="13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s="13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s="13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s="14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s="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s="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s="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23" x14ac:dyDescent="0.2">
      <c r="A17" s="16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23" x14ac:dyDescent="0.2">
      <c r="A18" s="17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23" x14ac:dyDescent="0.2">
      <c r="A19" s="17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23" x14ac:dyDescent="0.2">
      <c r="A20" s="18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23" x14ac:dyDescent="0.2">
      <c r="A21" s="18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23" x14ac:dyDescent="0.2">
      <c r="A22" s="19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  <c r="W22" s="3"/>
    </row>
    <row r="23" spans="1:23" x14ac:dyDescent="0.2">
      <c r="A23" s="19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  <c r="W23" s="3"/>
    </row>
    <row r="24" spans="1:23" x14ac:dyDescent="0.2">
      <c r="A24" s="19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23" x14ac:dyDescent="0.2">
      <c r="A25" s="9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  <c r="W25" s="3"/>
    </row>
    <row r="26" spans="1:23" x14ac:dyDescent="0.2">
      <c r="A26" s="9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23" x14ac:dyDescent="0.2">
      <c r="A27" s="20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23" x14ac:dyDescent="0.2">
      <c r="A28" s="2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23" x14ac:dyDescent="0.2">
      <c r="A29" s="2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23" x14ac:dyDescent="0.2">
      <c r="A30" s="21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23" x14ac:dyDescent="0.2">
      <c r="A31" s="2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23" x14ac:dyDescent="0.2">
      <c r="A32" s="2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s="22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27" t="s">
        <v>89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spans="1:18" x14ac:dyDescent="0.2">
      <c r="C36" s="24" t="s">
        <v>1</v>
      </c>
      <c r="D36" s="25"/>
      <c r="E36" s="25"/>
      <c r="F36" s="26"/>
      <c r="G36" s="24" t="s">
        <v>2</v>
      </c>
      <c r="H36" s="25"/>
      <c r="I36" s="25"/>
      <c r="J36" s="26"/>
      <c r="K36" s="24" t="s">
        <v>90</v>
      </c>
      <c r="L36" s="25"/>
      <c r="M36" s="25"/>
      <c r="N36" s="26"/>
      <c r="O36" s="27" t="s">
        <v>91</v>
      </c>
      <c r="P36" s="27"/>
      <c r="Q36" s="27"/>
      <c r="R36" s="27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BH103"/>
  <sheetViews>
    <sheetView tabSelected="1" topLeftCell="AJ1" zoomScale="85" zoomScaleNormal="85" workbookViewId="0">
      <selection activeCell="BJ37" sqref="BJ37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  <col min="18" max="18" width="11.5" customWidth="1"/>
    <col min="19" max="19" width="10.83203125" customWidth="1"/>
    <col min="20" max="20" width="10.1640625" customWidth="1"/>
    <col min="21" max="21" width="12.83203125" customWidth="1"/>
    <col min="24" max="24" width="56.83203125" bestFit="1" customWidth="1"/>
    <col min="35" max="35" width="56" bestFit="1" customWidth="1"/>
    <col min="52" max="52" width="8.6640625" customWidth="1"/>
    <col min="53" max="53" width="6.5" customWidth="1"/>
    <col min="54" max="55" width="7.5" customWidth="1"/>
  </cols>
  <sheetData>
    <row r="1" spans="1:60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29" t="s">
        <v>133</v>
      </c>
      <c r="M1" s="29"/>
      <c r="N1" s="29"/>
      <c r="O1" s="29"/>
      <c r="P1" s="29"/>
      <c r="R1" s="29" t="s">
        <v>134</v>
      </c>
      <c r="S1" s="29"/>
      <c r="T1" s="29"/>
      <c r="U1" s="29"/>
      <c r="AJ1" s="28" t="s">
        <v>146</v>
      </c>
      <c r="AK1" s="28"/>
      <c r="AL1" s="28"/>
      <c r="AM1" s="28"/>
      <c r="AO1" s="29" t="s">
        <v>136</v>
      </c>
      <c r="AP1" s="29"/>
      <c r="AQ1" s="29"/>
      <c r="AR1" s="29"/>
      <c r="AS1" s="29"/>
      <c r="AU1" s="28" t="s">
        <v>148</v>
      </c>
      <c r="AV1" s="28"/>
      <c r="AW1" s="28"/>
      <c r="AX1" s="28"/>
      <c r="AZ1" s="30"/>
      <c r="BA1" s="30"/>
      <c r="BB1" s="30" t="s">
        <v>148</v>
      </c>
      <c r="BC1" s="30"/>
      <c r="BD1" s="30"/>
      <c r="BE1" s="30"/>
    </row>
    <row r="2" spans="1:60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  <c r="R2" s="8">
        <v>1.5</v>
      </c>
      <c r="S2" s="8">
        <v>2</v>
      </c>
      <c r="T2" s="8">
        <v>3</v>
      </c>
      <c r="U2" s="8">
        <v>4</v>
      </c>
      <c r="Z2" s="8" t="s">
        <v>138</v>
      </c>
      <c r="AA2" s="8" t="s">
        <v>139</v>
      </c>
      <c r="AB2" s="8" t="s">
        <v>140</v>
      </c>
      <c r="AC2" s="8" t="s">
        <v>141</v>
      </c>
      <c r="AD2" s="8" t="s">
        <v>142</v>
      </c>
      <c r="AE2" s="8" t="s">
        <v>143</v>
      </c>
      <c r="AF2" s="8" t="s">
        <v>144</v>
      </c>
      <c r="AG2" s="8" t="s">
        <v>145</v>
      </c>
      <c r="AI2" s="1" t="s">
        <v>4</v>
      </c>
      <c r="AJ2" s="1" t="s">
        <v>5</v>
      </c>
      <c r="AK2" s="1" t="s">
        <v>6</v>
      </c>
      <c r="AL2" s="1" t="s">
        <v>7</v>
      </c>
      <c r="AM2" s="1" t="s">
        <v>8</v>
      </c>
      <c r="AO2" s="1" t="s">
        <v>5</v>
      </c>
      <c r="AP2" s="1" t="s">
        <v>6</v>
      </c>
      <c r="AQ2" s="1" t="s">
        <v>7</v>
      </c>
      <c r="AR2" s="1" t="s">
        <v>8</v>
      </c>
      <c r="AS2" s="23" t="s">
        <v>147</v>
      </c>
      <c r="AU2" s="1" t="s">
        <v>5</v>
      </c>
      <c r="AV2" s="1" t="s">
        <v>6</v>
      </c>
      <c r="AW2" s="1" t="s">
        <v>7</v>
      </c>
      <c r="AX2" s="1" t="s">
        <v>8</v>
      </c>
      <c r="AZ2" s="31"/>
      <c r="BA2" s="31"/>
      <c r="BB2" s="32" t="s">
        <v>5</v>
      </c>
      <c r="BC2" s="32" t="s">
        <v>6</v>
      </c>
      <c r="BD2" s="8" t="s">
        <v>7</v>
      </c>
      <c r="BE2" s="8" t="s">
        <v>8</v>
      </c>
    </row>
    <row r="3" spans="1:60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K3" s="3"/>
      <c r="L3" t="s">
        <v>126</v>
      </c>
      <c r="M3">
        <v>2024</v>
      </c>
      <c r="N3">
        <v>0</v>
      </c>
      <c r="O3">
        <v>0</v>
      </c>
      <c r="P3">
        <v>0</v>
      </c>
      <c r="S3" t="s">
        <v>135</v>
      </c>
      <c r="T3" t="s">
        <v>135</v>
      </c>
      <c r="U3" t="s">
        <v>135</v>
      </c>
      <c r="X3" t="s">
        <v>126</v>
      </c>
      <c r="Y3" t="s">
        <v>136</v>
      </c>
      <c r="Z3">
        <v>2024</v>
      </c>
      <c r="AA3">
        <v>0</v>
      </c>
      <c r="AB3">
        <v>0</v>
      </c>
      <c r="AC3">
        <v>0</v>
      </c>
      <c r="AI3" t="s">
        <v>126</v>
      </c>
      <c r="AJ3">
        <v>2043</v>
      </c>
      <c r="AO3">
        <v>2024</v>
      </c>
      <c r="AS3">
        <v>26</v>
      </c>
      <c r="AU3">
        <f>IF(AND(NOT(AO3=""),NOT(AJ3="")),AJ3-AO3,"")</f>
        <v>19</v>
      </c>
      <c r="AV3" t="str">
        <f t="shared" ref="AV3:AX18" si="0">IF(AND(NOT(AP3=""),NOT(AK3="")),AK3-AP3,"")</f>
        <v/>
      </c>
      <c r="AW3" t="str">
        <f t="shared" si="0"/>
        <v/>
      </c>
      <c r="AX3" t="str">
        <f t="shared" si="0"/>
        <v/>
      </c>
      <c r="AZ3" s="31"/>
      <c r="BA3" s="31"/>
      <c r="BB3" s="31">
        <v>19</v>
      </c>
      <c r="BC3" s="31" t="s">
        <v>135</v>
      </c>
      <c r="BD3" t="s">
        <v>135</v>
      </c>
      <c r="BE3" t="s">
        <v>135</v>
      </c>
      <c r="BH3">
        <v>19</v>
      </c>
    </row>
    <row r="4" spans="1:60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K4" s="3"/>
      <c r="L4" t="s">
        <v>127</v>
      </c>
      <c r="M4">
        <v>2024</v>
      </c>
      <c r="N4">
        <v>0</v>
      </c>
      <c r="O4">
        <v>0</v>
      </c>
      <c r="P4">
        <v>0</v>
      </c>
      <c r="R4">
        <v>2050</v>
      </c>
      <c r="S4" t="s">
        <v>135</v>
      </c>
      <c r="T4" t="s">
        <v>135</v>
      </c>
      <c r="U4" t="s">
        <v>135</v>
      </c>
      <c r="Y4" t="s">
        <v>137</v>
      </c>
      <c r="AI4" t="s">
        <v>127</v>
      </c>
      <c r="AJ4">
        <v>2036</v>
      </c>
      <c r="AO4">
        <v>2024</v>
      </c>
      <c r="AS4">
        <v>26</v>
      </c>
      <c r="AU4">
        <f t="shared" ref="AU4:AU36" si="1">IF(AND(NOT(AO4=""),NOT(AJ4="")),AJ4-AO4,"")</f>
        <v>12</v>
      </c>
      <c r="AV4" t="str">
        <f t="shared" si="0"/>
        <v/>
      </c>
      <c r="AW4" t="str">
        <f t="shared" si="0"/>
        <v/>
      </c>
      <c r="AX4" t="str">
        <f t="shared" si="0"/>
        <v/>
      </c>
      <c r="AZ4" s="31"/>
      <c r="BA4" s="31"/>
      <c r="BB4" s="31">
        <v>12</v>
      </c>
      <c r="BC4" s="31" t="s">
        <v>135</v>
      </c>
      <c r="BE4" t="s">
        <v>135</v>
      </c>
      <c r="BH4">
        <v>12</v>
      </c>
    </row>
    <row r="5" spans="1:60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K5" s="3"/>
      <c r="L5" t="s">
        <v>128</v>
      </c>
      <c r="M5">
        <v>2024</v>
      </c>
      <c r="N5">
        <v>0</v>
      </c>
      <c r="O5">
        <v>0</v>
      </c>
      <c r="P5">
        <v>0</v>
      </c>
      <c r="R5">
        <v>2039</v>
      </c>
      <c r="S5" t="s">
        <v>135</v>
      </c>
      <c r="T5" t="s">
        <v>135</v>
      </c>
      <c r="U5" t="s">
        <v>135</v>
      </c>
      <c r="AI5" t="s">
        <v>128</v>
      </c>
      <c r="AJ5">
        <v>2032</v>
      </c>
      <c r="AO5">
        <v>2024</v>
      </c>
      <c r="AS5">
        <v>26</v>
      </c>
      <c r="AU5">
        <f t="shared" si="1"/>
        <v>8</v>
      </c>
      <c r="AV5" t="str">
        <f t="shared" si="0"/>
        <v/>
      </c>
      <c r="AW5" t="str">
        <f t="shared" si="0"/>
        <v/>
      </c>
      <c r="AX5" t="str">
        <f t="shared" si="0"/>
        <v/>
      </c>
      <c r="AZ5" s="31"/>
      <c r="BA5" s="31"/>
      <c r="BB5" s="31">
        <v>8</v>
      </c>
      <c r="BC5" s="31" t="s">
        <v>135</v>
      </c>
      <c r="BE5" t="s">
        <v>135</v>
      </c>
      <c r="BH5">
        <v>8</v>
      </c>
    </row>
    <row r="6" spans="1:60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K6" s="3"/>
      <c r="L6" t="s">
        <v>123</v>
      </c>
      <c r="M6">
        <v>2024</v>
      </c>
      <c r="N6">
        <v>0</v>
      </c>
      <c r="O6">
        <v>0</v>
      </c>
      <c r="P6">
        <v>0</v>
      </c>
      <c r="S6" t="s">
        <v>135</v>
      </c>
      <c r="T6" t="s">
        <v>135</v>
      </c>
      <c r="U6" t="s">
        <v>135</v>
      </c>
      <c r="X6" t="s">
        <v>127</v>
      </c>
      <c r="Y6" t="s">
        <v>136</v>
      </c>
      <c r="Z6">
        <v>2024</v>
      </c>
      <c r="AA6">
        <v>0</v>
      </c>
      <c r="AB6">
        <v>0</v>
      </c>
      <c r="AC6">
        <v>0</v>
      </c>
      <c r="AI6" t="s">
        <v>123</v>
      </c>
      <c r="AJ6">
        <v>2043</v>
      </c>
      <c r="AO6">
        <v>2024</v>
      </c>
      <c r="AS6">
        <v>26</v>
      </c>
      <c r="AU6">
        <f t="shared" si="1"/>
        <v>19</v>
      </c>
      <c r="AV6" t="str">
        <f t="shared" si="0"/>
        <v/>
      </c>
      <c r="AW6" t="str">
        <f t="shared" si="0"/>
        <v/>
      </c>
      <c r="AX6" t="str">
        <f t="shared" si="0"/>
        <v/>
      </c>
      <c r="AZ6" s="31"/>
      <c r="BA6" s="31"/>
      <c r="BB6" s="31">
        <v>19</v>
      </c>
      <c r="BC6" s="31" t="s">
        <v>135</v>
      </c>
      <c r="BE6" t="s">
        <v>135</v>
      </c>
      <c r="BH6">
        <v>19</v>
      </c>
    </row>
    <row r="7" spans="1:60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K7" s="3"/>
      <c r="L7" t="s">
        <v>129</v>
      </c>
      <c r="M7">
        <v>2024</v>
      </c>
      <c r="N7">
        <v>0</v>
      </c>
      <c r="O7">
        <v>0</v>
      </c>
      <c r="P7">
        <v>0</v>
      </c>
      <c r="R7">
        <v>2021</v>
      </c>
      <c r="S7">
        <v>33</v>
      </c>
      <c r="T7" t="s">
        <v>135</v>
      </c>
      <c r="U7" t="s">
        <v>135</v>
      </c>
      <c r="Y7" t="s">
        <v>137</v>
      </c>
      <c r="AD7">
        <v>2050</v>
      </c>
      <c r="AI7" t="s">
        <v>129</v>
      </c>
      <c r="AJ7">
        <v>2017</v>
      </c>
      <c r="AK7">
        <v>2028</v>
      </c>
      <c r="AO7">
        <v>2024</v>
      </c>
      <c r="AS7">
        <v>26</v>
      </c>
      <c r="AU7">
        <f t="shared" si="1"/>
        <v>-7</v>
      </c>
      <c r="AV7" t="str">
        <f t="shared" si="0"/>
        <v/>
      </c>
      <c r="AW7" t="str">
        <f t="shared" si="0"/>
        <v/>
      </c>
      <c r="AX7" t="str">
        <f t="shared" si="0"/>
        <v/>
      </c>
      <c r="AZ7" s="31"/>
      <c r="BA7" s="31"/>
      <c r="BB7" s="31">
        <v>-7</v>
      </c>
      <c r="BC7" s="31" t="s">
        <v>135</v>
      </c>
      <c r="BD7" t="s">
        <v>135</v>
      </c>
      <c r="BE7" t="s">
        <v>135</v>
      </c>
      <c r="BH7">
        <v>-7</v>
      </c>
    </row>
    <row r="8" spans="1:60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K8" s="3"/>
      <c r="L8" t="s">
        <v>130</v>
      </c>
      <c r="M8">
        <v>2023</v>
      </c>
      <c r="N8">
        <v>0</v>
      </c>
      <c r="O8">
        <v>0</v>
      </c>
      <c r="P8">
        <v>0</v>
      </c>
      <c r="R8">
        <v>2039</v>
      </c>
      <c r="S8" t="s">
        <v>135</v>
      </c>
      <c r="T8" t="s">
        <v>135</v>
      </c>
      <c r="U8" t="s">
        <v>135</v>
      </c>
      <c r="AI8" t="s">
        <v>130</v>
      </c>
      <c r="AJ8">
        <v>2026</v>
      </c>
      <c r="AO8">
        <v>2023</v>
      </c>
      <c r="AS8">
        <v>26</v>
      </c>
      <c r="AU8">
        <f t="shared" si="1"/>
        <v>3</v>
      </c>
      <c r="AV8" t="str">
        <f t="shared" si="0"/>
        <v/>
      </c>
      <c r="AW8" t="str">
        <f t="shared" si="0"/>
        <v/>
      </c>
      <c r="AX8" t="str">
        <f t="shared" si="0"/>
        <v/>
      </c>
      <c r="AZ8" s="31"/>
      <c r="BA8" s="31"/>
      <c r="BB8" s="31">
        <v>3</v>
      </c>
      <c r="BC8" s="31" t="s">
        <v>135</v>
      </c>
      <c r="BD8" t="s">
        <v>135</v>
      </c>
      <c r="BE8" t="s">
        <v>135</v>
      </c>
      <c r="BH8">
        <v>3</v>
      </c>
    </row>
    <row r="9" spans="1:60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K9" s="3"/>
      <c r="L9" t="s">
        <v>131</v>
      </c>
      <c r="M9">
        <v>2023</v>
      </c>
      <c r="N9">
        <v>0</v>
      </c>
      <c r="O9">
        <v>0</v>
      </c>
      <c r="P9">
        <v>0</v>
      </c>
      <c r="R9">
        <v>2026</v>
      </c>
      <c r="S9" t="s">
        <v>135</v>
      </c>
      <c r="T9" t="s">
        <v>135</v>
      </c>
      <c r="U9" t="s">
        <v>135</v>
      </c>
      <c r="X9" t="s">
        <v>128</v>
      </c>
      <c r="Y9" t="s">
        <v>136</v>
      </c>
      <c r="Z9">
        <v>2024</v>
      </c>
      <c r="AA9">
        <v>0</v>
      </c>
      <c r="AB9">
        <v>0</v>
      </c>
      <c r="AC9">
        <v>0</v>
      </c>
      <c r="AI9" t="s">
        <v>131</v>
      </c>
      <c r="AJ9">
        <v>2024</v>
      </c>
      <c r="AK9">
        <v>2038</v>
      </c>
      <c r="AO9">
        <v>2023</v>
      </c>
      <c r="AS9">
        <v>26</v>
      </c>
      <c r="AU9">
        <f t="shared" si="1"/>
        <v>1</v>
      </c>
      <c r="AV9" t="str">
        <f t="shared" si="0"/>
        <v/>
      </c>
      <c r="AW9" t="str">
        <f t="shared" si="0"/>
        <v/>
      </c>
      <c r="AX9" t="str">
        <f t="shared" si="0"/>
        <v/>
      </c>
      <c r="AZ9" s="31"/>
      <c r="BA9" s="31"/>
      <c r="BB9" s="31">
        <v>1</v>
      </c>
      <c r="BC9" s="31" t="s">
        <v>135</v>
      </c>
      <c r="BD9" t="s">
        <v>135</v>
      </c>
      <c r="BE9" t="s">
        <v>135</v>
      </c>
      <c r="BH9">
        <v>1</v>
      </c>
    </row>
    <row r="10" spans="1:60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K10" s="3"/>
      <c r="L10" t="s">
        <v>132</v>
      </c>
      <c r="M10">
        <v>2017</v>
      </c>
      <c r="N10">
        <v>0</v>
      </c>
      <c r="O10">
        <v>0</v>
      </c>
      <c r="P10">
        <v>0</v>
      </c>
      <c r="S10" t="s">
        <v>135</v>
      </c>
      <c r="T10" t="s">
        <v>135</v>
      </c>
      <c r="U10" t="s">
        <v>135</v>
      </c>
      <c r="Y10" t="s">
        <v>137</v>
      </c>
      <c r="AD10">
        <v>2039</v>
      </c>
      <c r="AI10" t="s">
        <v>132</v>
      </c>
      <c r="AJ10">
        <v>2085</v>
      </c>
      <c r="AO10">
        <v>2017</v>
      </c>
      <c r="AS10">
        <v>26</v>
      </c>
      <c r="AU10">
        <f t="shared" si="1"/>
        <v>68</v>
      </c>
      <c r="AV10" t="str">
        <f t="shared" si="0"/>
        <v/>
      </c>
      <c r="AW10" t="str">
        <f t="shared" si="0"/>
        <v/>
      </c>
      <c r="AX10" t="str">
        <f t="shared" si="0"/>
        <v/>
      </c>
      <c r="AZ10" s="31"/>
      <c r="BA10" s="31"/>
      <c r="BB10" s="31">
        <v>68</v>
      </c>
      <c r="BC10" s="31" t="s">
        <v>135</v>
      </c>
      <c r="BD10" t="s">
        <v>135</v>
      </c>
      <c r="BE10" t="s">
        <v>135</v>
      </c>
      <c r="BH10">
        <v>68</v>
      </c>
    </row>
    <row r="11" spans="1:60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K11" s="3"/>
      <c r="L11" t="s">
        <v>99</v>
      </c>
      <c r="M11">
        <v>2038</v>
      </c>
      <c r="N11">
        <v>21</v>
      </c>
      <c r="O11">
        <v>0</v>
      </c>
      <c r="P11">
        <v>0</v>
      </c>
      <c r="R11">
        <v>2055</v>
      </c>
      <c r="S11">
        <v>21</v>
      </c>
      <c r="T11" t="s">
        <v>135</v>
      </c>
      <c r="U11" t="s">
        <v>135</v>
      </c>
      <c r="AI11" t="s">
        <v>99</v>
      </c>
      <c r="AJ11">
        <v>2049</v>
      </c>
      <c r="AK11">
        <v>2062</v>
      </c>
      <c r="AO11">
        <v>2038</v>
      </c>
      <c r="AP11">
        <v>2059</v>
      </c>
      <c r="AS11">
        <v>45</v>
      </c>
      <c r="AU11">
        <f t="shared" si="1"/>
        <v>11</v>
      </c>
      <c r="AV11">
        <f t="shared" si="0"/>
        <v>3</v>
      </c>
      <c r="AW11" t="str">
        <f t="shared" si="0"/>
        <v/>
      </c>
      <c r="AX11" t="str">
        <f t="shared" si="0"/>
        <v/>
      </c>
      <c r="AZ11" s="31"/>
      <c r="BA11" s="31"/>
      <c r="BB11" s="31">
        <v>11</v>
      </c>
      <c r="BC11" s="31">
        <v>3</v>
      </c>
      <c r="BD11" t="s">
        <v>135</v>
      </c>
      <c r="BE11" t="s">
        <v>135</v>
      </c>
      <c r="BH11">
        <v>11</v>
      </c>
    </row>
    <row r="12" spans="1:60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K12" s="3"/>
      <c r="L12" t="s">
        <v>100</v>
      </c>
      <c r="M12">
        <v>2038</v>
      </c>
      <c r="N12">
        <v>21</v>
      </c>
      <c r="O12">
        <v>0</v>
      </c>
      <c r="P12">
        <v>0</v>
      </c>
      <c r="R12">
        <v>2049</v>
      </c>
      <c r="S12">
        <v>9</v>
      </c>
      <c r="T12" t="s">
        <v>135</v>
      </c>
      <c r="U12" t="s">
        <v>135</v>
      </c>
      <c r="X12" t="s">
        <v>123</v>
      </c>
      <c r="Y12" t="s">
        <v>136</v>
      </c>
      <c r="Z12">
        <v>2024</v>
      </c>
      <c r="AA12">
        <v>0</v>
      </c>
      <c r="AB12">
        <v>0</v>
      </c>
      <c r="AC12">
        <v>0</v>
      </c>
      <c r="AI12" t="s">
        <v>100</v>
      </c>
      <c r="AJ12">
        <v>2044</v>
      </c>
      <c r="AK12">
        <v>2056</v>
      </c>
      <c r="AO12">
        <v>2038</v>
      </c>
      <c r="AP12">
        <v>2059</v>
      </c>
      <c r="AS12">
        <v>45</v>
      </c>
      <c r="AU12">
        <f t="shared" si="1"/>
        <v>6</v>
      </c>
      <c r="AV12">
        <f t="shared" si="0"/>
        <v>-3</v>
      </c>
      <c r="AW12" t="str">
        <f t="shared" si="0"/>
        <v/>
      </c>
      <c r="AX12" t="str">
        <f t="shared" si="0"/>
        <v/>
      </c>
      <c r="AZ12" s="31"/>
      <c r="BA12" s="31"/>
      <c r="BB12" s="31">
        <v>6</v>
      </c>
      <c r="BC12" s="31">
        <v>-3</v>
      </c>
      <c r="BD12" t="s">
        <v>135</v>
      </c>
      <c r="BE12" t="s">
        <v>135</v>
      </c>
      <c r="BH12">
        <v>6</v>
      </c>
    </row>
    <row r="13" spans="1:60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K13" s="3"/>
      <c r="L13" t="s">
        <v>101</v>
      </c>
      <c r="M13">
        <v>2038</v>
      </c>
      <c r="N13">
        <v>21</v>
      </c>
      <c r="O13">
        <v>0</v>
      </c>
      <c r="P13">
        <v>0</v>
      </c>
      <c r="R13">
        <v>2046</v>
      </c>
      <c r="S13">
        <v>11</v>
      </c>
      <c r="T13" t="s">
        <v>135</v>
      </c>
      <c r="U13" t="s">
        <v>135</v>
      </c>
      <c r="Y13" t="s">
        <v>137</v>
      </c>
      <c r="AI13" t="s">
        <v>101</v>
      </c>
      <c r="AJ13">
        <v>2035</v>
      </c>
      <c r="AK13">
        <v>2054</v>
      </c>
      <c r="AO13">
        <v>2038</v>
      </c>
      <c r="AP13">
        <v>2059</v>
      </c>
      <c r="AS13">
        <v>45</v>
      </c>
      <c r="AU13">
        <f t="shared" si="1"/>
        <v>-3</v>
      </c>
      <c r="AV13">
        <f t="shared" si="0"/>
        <v>-5</v>
      </c>
      <c r="AW13" t="str">
        <f t="shared" si="0"/>
        <v/>
      </c>
      <c r="AX13" t="str">
        <f t="shared" si="0"/>
        <v/>
      </c>
      <c r="AZ13" s="31"/>
      <c r="BA13" s="31"/>
      <c r="BB13" s="31">
        <v>-3</v>
      </c>
      <c r="BC13" s="31">
        <v>-5</v>
      </c>
      <c r="BD13" t="s">
        <v>135</v>
      </c>
      <c r="BE13" t="s">
        <v>135</v>
      </c>
      <c r="BH13">
        <v>-3</v>
      </c>
    </row>
    <row r="14" spans="1:60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K14" s="3"/>
      <c r="L14" t="s">
        <v>102</v>
      </c>
      <c r="M14">
        <v>2023</v>
      </c>
      <c r="N14">
        <v>22</v>
      </c>
      <c r="O14">
        <v>0</v>
      </c>
      <c r="P14">
        <v>0</v>
      </c>
      <c r="R14">
        <v>2050</v>
      </c>
      <c r="S14">
        <v>11</v>
      </c>
      <c r="T14" t="s">
        <v>135</v>
      </c>
      <c r="U14" t="s">
        <v>135</v>
      </c>
      <c r="AI14" t="s">
        <v>102</v>
      </c>
      <c r="AJ14">
        <v>2042</v>
      </c>
      <c r="AK14">
        <v>2057</v>
      </c>
      <c r="AO14">
        <v>2023</v>
      </c>
      <c r="AP14">
        <v>2045</v>
      </c>
      <c r="AS14">
        <v>45</v>
      </c>
      <c r="AU14">
        <f t="shared" si="1"/>
        <v>19</v>
      </c>
      <c r="AV14">
        <f t="shared" si="0"/>
        <v>12</v>
      </c>
      <c r="AW14" t="str">
        <f t="shared" si="0"/>
        <v/>
      </c>
      <c r="AX14" t="str">
        <f t="shared" si="0"/>
        <v/>
      </c>
      <c r="AZ14" s="31"/>
      <c r="BA14" s="31"/>
      <c r="BB14" s="31">
        <v>19</v>
      </c>
      <c r="BC14" s="31">
        <v>12</v>
      </c>
      <c r="BD14" t="s">
        <v>135</v>
      </c>
      <c r="BE14" t="s">
        <v>135</v>
      </c>
      <c r="BH14">
        <v>19</v>
      </c>
    </row>
    <row r="15" spans="1:60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K15" s="3"/>
      <c r="L15" t="s">
        <v>103</v>
      </c>
      <c r="M15">
        <v>2023</v>
      </c>
      <c r="N15">
        <v>22</v>
      </c>
      <c r="O15">
        <v>0</v>
      </c>
      <c r="P15">
        <v>0</v>
      </c>
      <c r="R15">
        <v>2032</v>
      </c>
      <c r="S15">
        <v>20</v>
      </c>
      <c r="T15" t="s">
        <v>135</v>
      </c>
      <c r="U15" t="s">
        <v>135</v>
      </c>
      <c r="X15" t="s">
        <v>129</v>
      </c>
      <c r="Y15" t="s">
        <v>136</v>
      </c>
      <c r="Z15">
        <v>2024</v>
      </c>
      <c r="AA15">
        <v>0</v>
      </c>
      <c r="AB15">
        <v>0</v>
      </c>
      <c r="AC15">
        <v>0</v>
      </c>
      <c r="AI15" t="s">
        <v>103</v>
      </c>
      <c r="AJ15">
        <v>2029</v>
      </c>
      <c r="AK15">
        <v>2046</v>
      </c>
      <c r="AO15">
        <v>2023</v>
      </c>
      <c r="AP15">
        <v>2045</v>
      </c>
      <c r="AS15">
        <v>45</v>
      </c>
      <c r="AU15">
        <f t="shared" si="1"/>
        <v>6</v>
      </c>
      <c r="AV15">
        <f t="shared" si="0"/>
        <v>1</v>
      </c>
      <c r="AW15" t="str">
        <f t="shared" si="0"/>
        <v/>
      </c>
      <c r="AX15" t="str">
        <f t="shared" si="0"/>
        <v/>
      </c>
      <c r="AZ15" s="31"/>
      <c r="BA15" s="31"/>
      <c r="BB15" s="31">
        <v>6</v>
      </c>
      <c r="BC15" s="31">
        <v>1</v>
      </c>
      <c r="BD15" t="s">
        <v>135</v>
      </c>
      <c r="BE15" t="s">
        <v>135</v>
      </c>
      <c r="BH15">
        <v>6</v>
      </c>
    </row>
    <row r="16" spans="1:60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K16" s="3"/>
      <c r="L16" t="s">
        <v>104</v>
      </c>
      <c r="M16">
        <v>2023</v>
      </c>
      <c r="N16">
        <v>22</v>
      </c>
      <c r="O16">
        <v>0</v>
      </c>
      <c r="P16">
        <v>0</v>
      </c>
      <c r="R16">
        <v>2031</v>
      </c>
      <c r="S16">
        <v>34</v>
      </c>
      <c r="T16" t="s">
        <v>135</v>
      </c>
      <c r="U16" t="s">
        <v>135</v>
      </c>
      <c r="Y16" t="s">
        <v>137</v>
      </c>
      <c r="AD16">
        <v>2021</v>
      </c>
      <c r="AE16">
        <v>33</v>
      </c>
      <c r="AI16" t="s">
        <v>104</v>
      </c>
      <c r="AJ16">
        <v>2025</v>
      </c>
      <c r="AK16">
        <v>2064</v>
      </c>
      <c r="AO16">
        <v>2023</v>
      </c>
      <c r="AP16">
        <v>2045</v>
      </c>
      <c r="AS16">
        <v>45</v>
      </c>
      <c r="AU16">
        <f t="shared" si="1"/>
        <v>2</v>
      </c>
      <c r="AV16">
        <f t="shared" si="0"/>
        <v>19</v>
      </c>
      <c r="AW16" t="str">
        <f t="shared" si="0"/>
        <v/>
      </c>
      <c r="AX16" t="str">
        <f t="shared" si="0"/>
        <v/>
      </c>
      <c r="AZ16" s="31"/>
      <c r="BA16" s="31"/>
      <c r="BB16" s="31">
        <v>2</v>
      </c>
      <c r="BC16" s="31">
        <v>19</v>
      </c>
      <c r="BD16" t="s">
        <v>135</v>
      </c>
      <c r="BE16" t="s">
        <v>135</v>
      </c>
      <c r="BH16">
        <v>2</v>
      </c>
    </row>
    <row r="17" spans="1:60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K17" s="3"/>
      <c r="L17" t="s">
        <v>124</v>
      </c>
      <c r="M17">
        <v>2023</v>
      </c>
      <c r="N17">
        <v>22</v>
      </c>
      <c r="O17">
        <v>0</v>
      </c>
      <c r="P17">
        <v>0</v>
      </c>
      <c r="R17">
        <v>2038</v>
      </c>
      <c r="S17">
        <v>35</v>
      </c>
      <c r="T17" t="s">
        <v>135</v>
      </c>
      <c r="U17" t="s">
        <v>135</v>
      </c>
      <c r="AI17" t="s">
        <v>124</v>
      </c>
      <c r="AJ17">
        <v>2033</v>
      </c>
      <c r="AK17">
        <v>2066</v>
      </c>
      <c r="AO17">
        <v>2023</v>
      </c>
      <c r="AP17">
        <v>2045</v>
      </c>
      <c r="AS17">
        <v>45</v>
      </c>
      <c r="AU17">
        <f t="shared" si="1"/>
        <v>10</v>
      </c>
      <c r="AV17">
        <f t="shared" si="0"/>
        <v>21</v>
      </c>
      <c r="AW17" t="str">
        <f t="shared" si="0"/>
        <v/>
      </c>
      <c r="AX17" t="str">
        <f t="shared" si="0"/>
        <v/>
      </c>
      <c r="AZ17" s="31"/>
      <c r="BA17" s="31"/>
      <c r="BB17" s="31">
        <v>10</v>
      </c>
      <c r="BC17" s="31">
        <v>21</v>
      </c>
      <c r="BD17" t="s">
        <v>135</v>
      </c>
      <c r="BE17" t="s">
        <v>135</v>
      </c>
      <c r="BH17">
        <v>10</v>
      </c>
    </row>
    <row r="18" spans="1:60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K18" s="3"/>
      <c r="L18" t="s">
        <v>107</v>
      </c>
      <c r="M18">
        <v>2017</v>
      </c>
      <c r="N18">
        <v>17</v>
      </c>
      <c r="O18">
        <v>44</v>
      </c>
      <c r="P18">
        <v>0</v>
      </c>
      <c r="R18">
        <v>2038</v>
      </c>
      <c r="S18">
        <v>32</v>
      </c>
      <c r="T18" t="s">
        <v>135</v>
      </c>
      <c r="U18" t="s">
        <v>135</v>
      </c>
      <c r="X18" t="s">
        <v>130</v>
      </c>
      <c r="Y18" t="s">
        <v>136</v>
      </c>
      <c r="Z18">
        <v>2023</v>
      </c>
      <c r="AA18">
        <v>0</v>
      </c>
      <c r="AB18">
        <v>0</v>
      </c>
      <c r="AC18">
        <v>0</v>
      </c>
      <c r="AI18" t="s">
        <v>107</v>
      </c>
      <c r="AJ18">
        <v>2034</v>
      </c>
      <c r="AK18">
        <v>2062</v>
      </c>
      <c r="AO18">
        <v>2017</v>
      </c>
      <c r="AP18">
        <v>2034</v>
      </c>
      <c r="AQ18">
        <v>2078</v>
      </c>
      <c r="AS18">
        <v>45</v>
      </c>
      <c r="AU18">
        <f t="shared" si="1"/>
        <v>17</v>
      </c>
      <c r="AV18">
        <f t="shared" si="0"/>
        <v>28</v>
      </c>
      <c r="AW18" t="str">
        <f t="shared" si="0"/>
        <v/>
      </c>
      <c r="AX18" t="str">
        <f t="shared" si="0"/>
        <v/>
      </c>
      <c r="AZ18" s="31"/>
      <c r="BA18" s="31"/>
      <c r="BB18" s="31">
        <v>17</v>
      </c>
      <c r="BC18" s="31">
        <v>28</v>
      </c>
      <c r="BD18" t="s">
        <v>135</v>
      </c>
      <c r="BE18" t="s">
        <v>135</v>
      </c>
      <c r="BH18">
        <v>17</v>
      </c>
    </row>
    <row r="19" spans="1:60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K19" s="3"/>
      <c r="L19" t="s">
        <v>108</v>
      </c>
      <c r="M19">
        <v>2017</v>
      </c>
      <c r="N19">
        <v>17</v>
      </c>
      <c r="O19">
        <v>44</v>
      </c>
      <c r="P19">
        <v>0</v>
      </c>
      <c r="R19">
        <v>2038</v>
      </c>
      <c r="S19">
        <v>18</v>
      </c>
      <c r="T19" t="s">
        <v>135</v>
      </c>
      <c r="U19" t="s">
        <v>135</v>
      </c>
      <c r="Y19" t="s">
        <v>137</v>
      </c>
      <c r="AD19">
        <v>2039</v>
      </c>
      <c r="AI19" t="s">
        <v>108</v>
      </c>
      <c r="AJ19">
        <v>2032</v>
      </c>
      <c r="AK19">
        <v>2044</v>
      </c>
      <c r="AL19">
        <v>2079</v>
      </c>
      <c r="AO19">
        <v>2017</v>
      </c>
      <c r="AP19">
        <v>2034</v>
      </c>
      <c r="AQ19">
        <v>2078</v>
      </c>
      <c r="AS19">
        <v>45</v>
      </c>
      <c r="AU19">
        <f t="shared" si="1"/>
        <v>15</v>
      </c>
      <c r="AV19">
        <f t="shared" ref="AV19:AV36" si="2">IF(AND(NOT(AP19=""),NOT(AK19="")),AK19-AP19,"")</f>
        <v>10</v>
      </c>
      <c r="AW19">
        <f t="shared" ref="AW19:AW36" si="3">IF(AND(NOT(AQ19=""),NOT(AL19="")),AL19-AQ19,"")</f>
        <v>1</v>
      </c>
      <c r="AX19" t="str">
        <f t="shared" ref="AX19:AX36" si="4">IF(AND(NOT(AR19=""),NOT(AM19="")),AM19-AR19,"")</f>
        <v/>
      </c>
      <c r="AZ19" s="31"/>
      <c r="BA19" s="31"/>
      <c r="BB19" s="31">
        <v>15</v>
      </c>
      <c r="BC19" s="31">
        <v>10</v>
      </c>
      <c r="BE19" t="s">
        <v>135</v>
      </c>
      <c r="BH19">
        <v>15</v>
      </c>
    </row>
    <row r="20" spans="1:60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K20" s="3"/>
      <c r="L20" t="s">
        <v>105</v>
      </c>
      <c r="M20">
        <v>2029</v>
      </c>
      <c r="N20">
        <v>15</v>
      </c>
      <c r="O20">
        <v>35</v>
      </c>
      <c r="P20">
        <v>0</v>
      </c>
      <c r="R20">
        <v>2025</v>
      </c>
      <c r="S20">
        <v>16</v>
      </c>
      <c r="T20">
        <v>28</v>
      </c>
      <c r="U20" t="s">
        <v>135</v>
      </c>
      <c r="AI20" t="s">
        <v>105</v>
      </c>
      <c r="AJ20">
        <v>2020</v>
      </c>
      <c r="AK20">
        <v>2034</v>
      </c>
      <c r="AL20">
        <v>2061</v>
      </c>
      <c r="AO20">
        <v>2029</v>
      </c>
      <c r="AP20">
        <v>2044</v>
      </c>
      <c r="AQ20">
        <v>2079</v>
      </c>
      <c r="AS20">
        <v>45</v>
      </c>
      <c r="AU20">
        <f t="shared" si="1"/>
        <v>-9</v>
      </c>
      <c r="AV20">
        <f t="shared" si="2"/>
        <v>-10</v>
      </c>
      <c r="AW20">
        <f t="shared" si="3"/>
        <v>-18</v>
      </c>
      <c r="AX20" t="str">
        <f t="shared" si="4"/>
        <v/>
      </c>
      <c r="AZ20" s="31"/>
      <c r="BA20" s="31"/>
      <c r="BB20" s="31">
        <v>-9</v>
      </c>
      <c r="BC20" s="31">
        <v>-10</v>
      </c>
      <c r="BE20" t="s">
        <v>135</v>
      </c>
      <c r="BH20">
        <v>-9</v>
      </c>
    </row>
    <row r="21" spans="1:60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K21" s="3"/>
      <c r="L21" t="s">
        <v>106</v>
      </c>
      <c r="M21">
        <v>2029</v>
      </c>
      <c r="N21">
        <v>15</v>
      </c>
      <c r="O21">
        <v>35</v>
      </c>
      <c r="P21">
        <v>0</v>
      </c>
      <c r="R21">
        <v>2027</v>
      </c>
      <c r="S21">
        <v>16</v>
      </c>
      <c r="T21">
        <v>27</v>
      </c>
      <c r="U21" t="s">
        <v>135</v>
      </c>
      <c r="X21" t="s">
        <v>131</v>
      </c>
      <c r="Y21" t="s">
        <v>136</v>
      </c>
      <c r="Z21">
        <v>2023</v>
      </c>
      <c r="AA21">
        <v>0</v>
      </c>
      <c r="AB21">
        <v>0</v>
      </c>
      <c r="AC21">
        <v>0</v>
      </c>
      <c r="AI21" t="s">
        <v>106</v>
      </c>
      <c r="AJ21">
        <v>2017</v>
      </c>
      <c r="AK21">
        <v>2038</v>
      </c>
      <c r="AL21">
        <v>2064</v>
      </c>
      <c r="AO21">
        <v>2029</v>
      </c>
      <c r="AP21">
        <v>2044</v>
      </c>
      <c r="AQ21">
        <v>2079</v>
      </c>
      <c r="AS21">
        <v>45</v>
      </c>
      <c r="AU21">
        <f t="shared" si="1"/>
        <v>-12</v>
      </c>
      <c r="AV21">
        <f t="shared" si="2"/>
        <v>-6</v>
      </c>
      <c r="AW21">
        <f t="shared" si="3"/>
        <v>-15</v>
      </c>
      <c r="AX21" t="str">
        <f t="shared" si="4"/>
        <v/>
      </c>
      <c r="AZ21" s="31"/>
      <c r="BA21" s="31"/>
      <c r="BB21" s="31">
        <v>-12</v>
      </c>
      <c r="BC21" s="31">
        <v>-6</v>
      </c>
      <c r="BD21">
        <v>1</v>
      </c>
      <c r="BE21" t="s">
        <v>135</v>
      </c>
      <c r="BH21">
        <v>-12</v>
      </c>
    </row>
    <row r="22" spans="1:60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K22" s="3"/>
      <c r="L22" t="s">
        <v>109</v>
      </c>
      <c r="M22">
        <v>2023</v>
      </c>
      <c r="N22">
        <v>22</v>
      </c>
      <c r="O22">
        <v>0</v>
      </c>
      <c r="P22">
        <v>0</v>
      </c>
      <c r="R22">
        <v>2039</v>
      </c>
      <c r="S22">
        <v>51</v>
      </c>
      <c r="T22" t="s">
        <v>135</v>
      </c>
      <c r="U22" t="s">
        <v>135</v>
      </c>
      <c r="Y22" t="s">
        <v>137</v>
      </c>
      <c r="AD22">
        <v>2026</v>
      </c>
      <c r="AI22" t="s">
        <v>109</v>
      </c>
      <c r="AJ22">
        <v>2033</v>
      </c>
      <c r="AK22">
        <v>2081</v>
      </c>
      <c r="AO22">
        <v>2023</v>
      </c>
      <c r="AP22">
        <v>2045</v>
      </c>
      <c r="AS22">
        <v>45</v>
      </c>
      <c r="AU22">
        <f t="shared" si="1"/>
        <v>10</v>
      </c>
      <c r="AV22">
        <f t="shared" si="2"/>
        <v>36</v>
      </c>
      <c r="AW22" t="str">
        <f t="shared" si="3"/>
        <v/>
      </c>
      <c r="AX22" t="str">
        <f t="shared" si="4"/>
        <v/>
      </c>
      <c r="AZ22" s="31"/>
      <c r="BA22" s="31"/>
      <c r="BB22" s="31">
        <v>10</v>
      </c>
      <c r="BC22" s="31">
        <v>36</v>
      </c>
      <c r="BD22">
        <v>-18</v>
      </c>
      <c r="BE22" t="s">
        <v>135</v>
      </c>
      <c r="BH22">
        <v>10</v>
      </c>
    </row>
    <row r="23" spans="1:60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K23" s="3"/>
      <c r="L23" t="s">
        <v>110</v>
      </c>
      <c r="M23">
        <v>2023</v>
      </c>
      <c r="N23">
        <v>22</v>
      </c>
      <c r="O23">
        <v>0</v>
      </c>
      <c r="P23">
        <v>0</v>
      </c>
      <c r="R23">
        <v>2034</v>
      </c>
      <c r="S23">
        <v>36</v>
      </c>
      <c r="T23" t="s">
        <v>135</v>
      </c>
      <c r="U23" t="s">
        <v>135</v>
      </c>
      <c r="AI23" t="s">
        <v>110</v>
      </c>
      <c r="AJ23">
        <v>2029</v>
      </c>
      <c r="AK23">
        <v>2039</v>
      </c>
      <c r="AO23">
        <v>2023</v>
      </c>
      <c r="AP23">
        <v>2045</v>
      </c>
      <c r="AS23">
        <v>45</v>
      </c>
      <c r="AU23">
        <f t="shared" si="1"/>
        <v>6</v>
      </c>
      <c r="AV23">
        <f t="shared" si="2"/>
        <v>-6</v>
      </c>
      <c r="AW23" t="str">
        <f t="shared" si="3"/>
        <v/>
      </c>
      <c r="AX23" t="str">
        <f t="shared" si="4"/>
        <v/>
      </c>
      <c r="AZ23" s="31"/>
      <c r="BA23" s="31"/>
      <c r="BB23" s="31">
        <v>6</v>
      </c>
      <c r="BC23" s="31">
        <v>-6</v>
      </c>
      <c r="BD23">
        <v>-15</v>
      </c>
      <c r="BE23" t="s">
        <v>135</v>
      </c>
      <c r="BH23">
        <v>6</v>
      </c>
    </row>
    <row r="24" spans="1:60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K24" s="3"/>
      <c r="L24" t="s">
        <v>111</v>
      </c>
      <c r="M24">
        <v>2031</v>
      </c>
      <c r="N24">
        <v>15</v>
      </c>
      <c r="O24">
        <v>22</v>
      </c>
      <c r="P24">
        <v>20</v>
      </c>
      <c r="R24">
        <v>2042</v>
      </c>
      <c r="S24">
        <v>13</v>
      </c>
      <c r="T24">
        <v>21</v>
      </c>
      <c r="U24" t="s">
        <v>135</v>
      </c>
      <c r="X24" t="s">
        <v>132</v>
      </c>
      <c r="Y24" t="s">
        <v>136</v>
      </c>
      <c r="Z24">
        <v>2017</v>
      </c>
      <c r="AA24">
        <v>0</v>
      </c>
      <c r="AB24">
        <v>0</v>
      </c>
      <c r="AC24">
        <v>0</v>
      </c>
      <c r="AI24" t="s">
        <v>111</v>
      </c>
      <c r="AJ24">
        <v>2036</v>
      </c>
      <c r="AK24">
        <v>2053</v>
      </c>
      <c r="AL24">
        <v>2072</v>
      </c>
      <c r="AO24">
        <v>2031</v>
      </c>
      <c r="AP24">
        <v>2046</v>
      </c>
      <c r="AQ24">
        <v>2068</v>
      </c>
      <c r="AR24">
        <v>2088</v>
      </c>
      <c r="AS24">
        <v>85</v>
      </c>
      <c r="AU24">
        <f t="shared" si="1"/>
        <v>5</v>
      </c>
      <c r="AV24">
        <f t="shared" si="2"/>
        <v>7</v>
      </c>
      <c r="AW24">
        <f t="shared" si="3"/>
        <v>4</v>
      </c>
      <c r="AX24" t="str">
        <f t="shared" si="4"/>
        <v/>
      </c>
      <c r="AZ24" s="31"/>
      <c r="BA24" s="31"/>
      <c r="BB24" s="31">
        <v>5</v>
      </c>
      <c r="BC24" s="31">
        <v>7</v>
      </c>
      <c r="BD24">
        <v>4</v>
      </c>
      <c r="BE24" t="s">
        <v>135</v>
      </c>
      <c r="BH24">
        <v>5</v>
      </c>
    </row>
    <row r="25" spans="1:60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K25" s="3"/>
      <c r="L25" t="s">
        <v>112</v>
      </c>
      <c r="M25">
        <v>2031</v>
      </c>
      <c r="N25">
        <v>15</v>
      </c>
      <c r="O25">
        <v>22</v>
      </c>
      <c r="P25">
        <v>20</v>
      </c>
      <c r="R25">
        <v>2038</v>
      </c>
      <c r="S25">
        <v>11</v>
      </c>
      <c r="T25">
        <v>17</v>
      </c>
      <c r="U25">
        <v>17</v>
      </c>
      <c r="Y25" t="s">
        <v>137</v>
      </c>
      <c r="AI25" t="s">
        <v>112</v>
      </c>
      <c r="AJ25">
        <v>2029</v>
      </c>
      <c r="AK25">
        <v>2045</v>
      </c>
      <c r="AL25">
        <v>2065</v>
      </c>
      <c r="AM25">
        <v>2079</v>
      </c>
      <c r="AO25">
        <v>2031</v>
      </c>
      <c r="AP25">
        <v>2046</v>
      </c>
      <c r="AQ25">
        <v>2068</v>
      </c>
      <c r="AR25">
        <v>2088</v>
      </c>
      <c r="AS25">
        <v>85</v>
      </c>
      <c r="AU25">
        <f t="shared" si="1"/>
        <v>-2</v>
      </c>
      <c r="AV25">
        <f t="shared" si="2"/>
        <v>-1</v>
      </c>
      <c r="AW25">
        <f t="shared" si="3"/>
        <v>-3</v>
      </c>
      <c r="AX25">
        <f t="shared" si="4"/>
        <v>-9</v>
      </c>
      <c r="AZ25" s="31"/>
      <c r="BA25" s="31"/>
      <c r="BB25" s="31">
        <v>-2</v>
      </c>
      <c r="BC25" s="31">
        <v>-1</v>
      </c>
      <c r="BD25">
        <v>-3</v>
      </c>
      <c r="BE25">
        <v>-9</v>
      </c>
      <c r="BH25">
        <v>-2</v>
      </c>
    </row>
    <row r="26" spans="1:60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K26" s="3"/>
      <c r="L26" t="s">
        <v>113</v>
      </c>
      <c r="M26">
        <v>2031</v>
      </c>
      <c r="N26">
        <v>15</v>
      </c>
      <c r="O26">
        <v>22</v>
      </c>
      <c r="P26">
        <v>20</v>
      </c>
      <c r="R26">
        <v>2032</v>
      </c>
      <c r="S26">
        <v>14</v>
      </c>
      <c r="T26">
        <v>16</v>
      </c>
      <c r="U26">
        <v>18</v>
      </c>
      <c r="AI26" t="s">
        <v>113</v>
      </c>
      <c r="AJ26">
        <v>2029</v>
      </c>
      <c r="AK26">
        <v>2041</v>
      </c>
      <c r="AL26">
        <v>2059</v>
      </c>
      <c r="AM26">
        <v>2076</v>
      </c>
      <c r="AO26">
        <v>2031</v>
      </c>
      <c r="AP26">
        <v>2046</v>
      </c>
      <c r="AQ26">
        <v>2068</v>
      </c>
      <c r="AR26">
        <v>2088</v>
      </c>
      <c r="AS26">
        <v>85</v>
      </c>
      <c r="AU26">
        <f t="shared" si="1"/>
        <v>-2</v>
      </c>
      <c r="AV26">
        <f t="shared" si="2"/>
        <v>-5</v>
      </c>
      <c r="AW26">
        <f t="shared" si="3"/>
        <v>-9</v>
      </c>
      <c r="AX26">
        <f t="shared" si="4"/>
        <v>-12</v>
      </c>
      <c r="AZ26" s="31"/>
      <c r="BA26" s="31"/>
      <c r="BB26" s="31">
        <v>-2</v>
      </c>
      <c r="BC26" s="31">
        <v>-5</v>
      </c>
      <c r="BD26">
        <v>-9</v>
      </c>
      <c r="BE26">
        <v>-12</v>
      </c>
      <c r="BH26">
        <v>-2</v>
      </c>
    </row>
    <row r="27" spans="1:60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K27" s="3"/>
      <c r="L27" t="s">
        <v>114</v>
      </c>
      <c r="M27">
        <v>2019</v>
      </c>
      <c r="N27">
        <v>16</v>
      </c>
      <c r="O27">
        <v>26</v>
      </c>
      <c r="P27">
        <v>0</v>
      </c>
      <c r="R27">
        <v>2041</v>
      </c>
      <c r="S27">
        <v>13</v>
      </c>
      <c r="T27">
        <v>23</v>
      </c>
      <c r="U27">
        <v>13</v>
      </c>
      <c r="X27" t="s">
        <v>99</v>
      </c>
      <c r="Y27" t="s">
        <v>136</v>
      </c>
      <c r="Z27">
        <v>2038</v>
      </c>
      <c r="AA27">
        <v>21</v>
      </c>
      <c r="AB27">
        <v>0</v>
      </c>
      <c r="AC27">
        <v>0</v>
      </c>
      <c r="AI27" t="s">
        <v>114</v>
      </c>
      <c r="AJ27">
        <v>2034</v>
      </c>
      <c r="AK27">
        <v>2047</v>
      </c>
      <c r="AL27">
        <v>2075</v>
      </c>
      <c r="AM27">
        <v>2086</v>
      </c>
      <c r="AO27">
        <v>2019</v>
      </c>
      <c r="AP27">
        <v>2035</v>
      </c>
      <c r="AQ27">
        <v>2061</v>
      </c>
      <c r="AS27">
        <v>85</v>
      </c>
      <c r="AU27">
        <f t="shared" si="1"/>
        <v>15</v>
      </c>
      <c r="AV27">
        <f t="shared" si="2"/>
        <v>12</v>
      </c>
      <c r="AW27">
        <f t="shared" si="3"/>
        <v>14</v>
      </c>
      <c r="AX27" t="str">
        <f t="shared" si="4"/>
        <v/>
      </c>
      <c r="AZ27" s="31"/>
      <c r="BA27" s="31"/>
      <c r="BB27" s="31">
        <v>15</v>
      </c>
      <c r="BC27" s="31">
        <v>12</v>
      </c>
      <c r="BD27">
        <v>14</v>
      </c>
      <c r="BE27">
        <v>-1</v>
      </c>
      <c r="BH27">
        <v>15</v>
      </c>
    </row>
    <row r="28" spans="1:60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K28" s="3"/>
      <c r="L28" t="s">
        <v>115</v>
      </c>
      <c r="M28">
        <v>2019</v>
      </c>
      <c r="N28">
        <v>16</v>
      </c>
      <c r="O28">
        <v>26</v>
      </c>
      <c r="P28">
        <v>0</v>
      </c>
      <c r="R28">
        <v>2028</v>
      </c>
      <c r="S28">
        <v>12</v>
      </c>
      <c r="T28">
        <v>19</v>
      </c>
      <c r="U28">
        <v>18</v>
      </c>
      <c r="Y28" t="s">
        <v>137</v>
      </c>
      <c r="AD28">
        <v>2055</v>
      </c>
      <c r="AE28">
        <v>21</v>
      </c>
      <c r="AI28" t="s">
        <v>115</v>
      </c>
      <c r="AJ28">
        <v>2025</v>
      </c>
      <c r="AK28">
        <v>2034</v>
      </c>
      <c r="AL28">
        <v>2058</v>
      </c>
      <c r="AM28">
        <v>2075</v>
      </c>
      <c r="AO28">
        <v>2019</v>
      </c>
      <c r="AP28">
        <v>2035</v>
      </c>
      <c r="AQ28">
        <v>2061</v>
      </c>
      <c r="AS28">
        <v>85</v>
      </c>
      <c r="AU28">
        <f t="shared" si="1"/>
        <v>6</v>
      </c>
      <c r="AV28">
        <f t="shared" si="2"/>
        <v>-1</v>
      </c>
      <c r="AW28">
        <f t="shared" si="3"/>
        <v>-3</v>
      </c>
      <c r="AX28" t="str">
        <f t="shared" si="4"/>
        <v/>
      </c>
      <c r="AZ28" s="31"/>
      <c r="BA28" s="31"/>
      <c r="BB28" s="31">
        <v>6</v>
      </c>
      <c r="BC28" s="31">
        <v>-1</v>
      </c>
      <c r="BD28">
        <v>-3</v>
      </c>
      <c r="BE28">
        <v>5</v>
      </c>
      <c r="BH28">
        <v>6</v>
      </c>
    </row>
    <row r="29" spans="1:60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K29" s="3"/>
      <c r="L29" t="s">
        <v>116</v>
      </c>
      <c r="M29">
        <v>2020</v>
      </c>
      <c r="N29">
        <v>16</v>
      </c>
      <c r="O29">
        <v>26</v>
      </c>
      <c r="P29">
        <v>21</v>
      </c>
      <c r="R29">
        <v>2030</v>
      </c>
      <c r="S29">
        <v>28</v>
      </c>
      <c r="T29">
        <v>15</v>
      </c>
      <c r="U29">
        <v>14</v>
      </c>
      <c r="AI29" t="s">
        <v>116</v>
      </c>
      <c r="AJ29">
        <v>2025</v>
      </c>
      <c r="AK29">
        <v>2056</v>
      </c>
      <c r="AL29">
        <v>2072</v>
      </c>
      <c r="AM29">
        <v>2082</v>
      </c>
      <c r="AO29">
        <v>2020</v>
      </c>
      <c r="AP29">
        <v>2036</v>
      </c>
      <c r="AQ29">
        <v>2062</v>
      </c>
      <c r="AR29">
        <v>2083</v>
      </c>
      <c r="AS29">
        <v>85</v>
      </c>
      <c r="AU29">
        <f t="shared" si="1"/>
        <v>5</v>
      </c>
      <c r="AV29">
        <f t="shared" si="2"/>
        <v>20</v>
      </c>
      <c r="AW29">
        <f t="shared" si="3"/>
        <v>10</v>
      </c>
      <c r="AX29">
        <f t="shared" si="4"/>
        <v>-1</v>
      </c>
      <c r="AZ29" s="31"/>
      <c r="BA29" s="31"/>
      <c r="BB29" s="31">
        <v>5</v>
      </c>
      <c r="BC29" s="31">
        <v>20</v>
      </c>
      <c r="BD29">
        <v>10</v>
      </c>
      <c r="BE29">
        <v>0</v>
      </c>
      <c r="BH29">
        <v>5</v>
      </c>
    </row>
    <row r="30" spans="1:60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K30" s="3"/>
      <c r="L30" t="s">
        <v>125</v>
      </c>
      <c r="M30">
        <v>2020</v>
      </c>
      <c r="N30">
        <v>16</v>
      </c>
      <c r="O30">
        <v>26</v>
      </c>
      <c r="P30">
        <v>21</v>
      </c>
      <c r="R30">
        <v>2029</v>
      </c>
      <c r="S30">
        <v>25</v>
      </c>
      <c r="T30">
        <v>23</v>
      </c>
      <c r="U30" t="s">
        <v>135</v>
      </c>
      <c r="X30" t="s">
        <v>100</v>
      </c>
      <c r="Y30" t="s">
        <v>136</v>
      </c>
      <c r="Z30">
        <v>2038</v>
      </c>
      <c r="AA30">
        <v>21</v>
      </c>
      <c r="AB30">
        <v>0</v>
      </c>
      <c r="AC30">
        <v>0</v>
      </c>
      <c r="AI30" t="s">
        <v>125</v>
      </c>
      <c r="AJ30">
        <v>2025</v>
      </c>
      <c r="AK30">
        <v>2043</v>
      </c>
      <c r="AL30">
        <v>2075</v>
      </c>
      <c r="AM30">
        <v>2088</v>
      </c>
      <c r="AO30">
        <v>2020</v>
      </c>
      <c r="AP30">
        <v>2036</v>
      </c>
      <c r="AQ30">
        <v>2062</v>
      </c>
      <c r="AR30">
        <v>2083</v>
      </c>
      <c r="AS30">
        <v>85</v>
      </c>
      <c r="AU30">
        <f t="shared" si="1"/>
        <v>5</v>
      </c>
      <c r="AV30">
        <f t="shared" si="2"/>
        <v>7</v>
      </c>
      <c r="AW30">
        <f t="shared" si="3"/>
        <v>13</v>
      </c>
      <c r="AX30">
        <f t="shared" si="4"/>
        <v>5</v>
      </c>
      <c r="AZ30" s="31"/>
      <c r="BA30" s="31"/>
      <c r="BB30" s="31">
        <v>5</v>
      </c>
      <c r="BC30" s="31">
        <v>7</v>
      </c>
      <c r="BD30">
        <v>13</v>
      </c>
      <c r="BE30">
        <v>-7</v>
      </c>
      <c r="BH30">
        <v>5</v>
      </c>
    </row>
    <row r="31" spans="1:60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K31" s="3"/>
      <c r="L31" t="s">
        <v>119</v>
      </c>
      <c r="M31">
        <v>2016</v>
      </c>
      <c r="N31">
        <v>15</v>
      </c>
      <c r="O31">
        <v>20</v>
      </c>
      <c r="P31">
        <v>16</v>
      </c>
      <c r="R31">
        <v>2051</v>
      </c>
      <c r="S31">
        <v>7</v>
      </c>
      <c r="T31">
        <v>18</v>
      </c>
      <c r="U31" t="s">
        <v>135</v>
      </c>
      <c r="Y31" t="s">
        <v>137</v>
      </c>
      <c r="AD31">
        <v>2049</v>
      </c>
      <c r="AE31">
        <v>9</v>
      </c>
      <c r="AI31" t="s">
        <v>119</v>
      </c>
      <c r="AJ31">
        <v>2048</v>
      </c>
      <c r="AK31">
        <v>2054</v>
      </c>
      <c r="AL31">
        <v>2070</v>
      </c>
      <c r="AO31">
        <v>2016</v>
      </c>
      <c r="AP31">
        <v>2031</v>
      </c>
      <c r="AQ31">
        <v>2051</v>
      </c>
      <c r="AR31">
        <v>2067</v>
      </c>
      <c r="AS31">
        <v>85</v>
      </c>
      <c r="AU31">
        <f t="shared" si="1"/>
        <v>32</v>
      </c>
      <c r="AV31">
        <f t="shared" si="2"/>
        <v>23</v>
      </c>
      <c r="AW31">
        <f t="shared" si="3"/>
        <v>19</v>
      </c>
      <c r="AX31" t="str">
        <f t="shared" si="4"/>
        <v/>
      </c>
      <c r="AZ31" s="31"/>
      <c r="BA31" s="31"/>
      <c r="BB31" s="31">
        <v>32</v>
      </c>
      <c r="BC31" s="31">
        <v>23</v>
      </c>
      <c r="BD31">
        <v>19</v>
      </c>
      <c r="BE31">
        <v>-6</v>
      </c>
      <c r="BH31">
        <v>32</v>
      </c>
    </row>
    <row r="32" spans="1:60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K32" s="3"/>
      <c r="L32" t="s">
        <v>120</v>
      </c>
      <c r="M32">
        <v>2016</v>
      </c>
      <c r="N32">
        <v>15</v>
      </c>
      <c r="O32">
        <v>20</v>
      </c>
      <c r="P32">
        <v>16</v>
      </c>
      <c r="R32">
        <v>2035</v>
      </c>
      <c r="S32">
        <v>8</v>
      </c>
      <c r="T32">
        <v>15</v>
      </c>
      <c r="U32">
        <v>13</v>
      </c>
      <c r="AI32" t="s">
        <v>120</v>
      </c>
      <c r="AJ32">
        <v>2025</v>
      </c>
      <c r="AK32">
        <v>2041</v>
      </c>
      <c r="AL32">
        <v>2055</v>
      </c>
      <c r="AM32">
        <v>2067</v>
      </c>
      <c r="AO32">
        <v>2016</v>
      </c>
      <c r="AP32">
        <v>2031</v>
      </c>
      <c r="AQ32">
        <v>2051</v>
      </c>
      <c r="AR32">
        <v>2067</v>
      </c>
      <c r="AS32">
        <v>85</v>
      </c>
      <c r="AU32">
        <f t="shared" si="1"/>
        <v>9</v>
      </c>
      <c r="AV32">
        <f t="shared" si="2"/>
        <v>10</v>
      </c>
      <c r="AW32">
        <f t="shared" si="3"/>
        <v>4</v>
      </c>
      <c r="AX32">
        <f t="shared" si="4"/>
        <v>0</v>
      </c>
      <c r="AZ32" s="31"/>
      <c r="BA32" s="31"/>
      <c r="BB32" s="31">
        <v>9</v>
      </c>
      <c r="BC32" s="31">
        <v>10</v>
      </c>
      <c r="BD32">
        <v>4</v>
      </c>
      <c r="BE32">
        <v>8</v>
      </c>
      <c r="BH32">
        <v>9</v>
      </c>
    </row>
    <row r="33" spans="1:60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K33" s="3"/>
      <c r="L33" t="s">
        <v>117</v>
      </c>
      <c r="M33">
        <v>2024</v>
      </c>
      <c r="N33">
        <v>12</v>
      </c>
      <c r="O33">
        <v>19</v>
      </c>
      <c r="P33">
        <v>17</v>
      </c>
      <c r="R33">
        <v>2023</v>
      </c>
      <c r="S33">
        <v>11</v>
      </c>
      <c r="T33">
        <v>22</v>
      </c>
      <c r="U33">
        <v>11</v>
      </c>
      <c r="X33" t="s">
        <v>101</v>
      </c>
      <c r="Y33" t="s">
        <v>136</v>
      </c>
      <c r="Z33">
        <v>2038</v>
      </c>
      <c r="AA33">
        <v>21</v>
      </c>
      <c r="AB33">
        <v>0</v>
      </c>
      <c r="AC33">
        <v>0</v>
      </c>
      <c r="AI33" t="s">
        <v>117</v>
      </c>
      <c r="AJ33">
        <v>2016</v>
      </c>
      <c r="AK33">
        <v>2029</v>
      </c>
      <c r="AL33">
        <v>2053</v>
      </c>
      <c r="AM33">
        <v>2065</v>
      </c>
      <c r="AO33">
        <v>2024</v>
      </c>
      <c r="AP33">
        <v>2036</v>
      </c>
      <c r="AQ33">
        <v>2055</v>
      </c>
      <c r="AR33">
        <v>2072</v>
      </c>
      <c r="AS33">
        <v>85</v>
      </c>
      <c r="AU33">
        <f t="shared" si="1"/>
        <v>-8</v>
      </c>
      <c r="AV33">
        <f t="shared" si="2"/>
        <v>-7</v>
      </c>
      <c r="AW33">
        <f t="shared" si="3"/>
        <v>-2</v>
      </c>
      <c r="AX33">
        <f t="shared" si="4"/>
        <v>-7</v>
      </c>
      <c r="AZ33" s="31"/>
      <c r="BA33" s="31"/>
      <c r="BB33" s="31">
        <v>-8</v>
      </c>
      <c r="BC33" s="31">
        <v>-7</v>
      </c>
      <c r="BD33">
        <v>-2</v>
      </c>
      <c r="BE33">
        <v>-5</v>
      </c>
      <c r="BH33">
        <v>-8</v>
      </c>
    </row>
    <row r="34" spans="1:60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K34" s="3"/>
      <c r="L34" t="s">
        <v>118</v>
      </c>
      <c r="M34">
        <v>2024</v>
      </c>
      <c r="N34">
        <v>12</v>
      </c>
      <c r="O34">
        <v>19</v>
      </c>
      <c r="P34">
        <v>17</v>
      </c>
      <c r="R34">
        <v>2022</v>
      </c>
      <c r="S34">
        <v>12</v>
      </c>
      <c r="T34">
        <v>22</v>
      </c>
      <c r="U34">
        <v>14</v>
      </c>
      <c r="Y34" t="s">
        <v>137</v>
      </c>
      <c r="AD34">
        <v>2046</v>
      </c>
      <c r="AE34">
        <v>11</v>
      </c>
      <c r="AI34" t="s">
        <v>118</v>
      </c>
      <c r="AJ34">
        <v>2016</v>
      </c>
      <c r="AK34">
        <v>2032</v>
      </c>
      <c r="AL34">
        <v>2055</v>
      </c>
      <c r="AM34">
        <v>2066</v>
      </c>
      <c r="AO34">
        <v>2024</v>
      </c>
      <c r="AP34">
        <v>2036</v>
      </c>
      <c r="AQ34">
        <v>2055</v>
      </c>
      <c r="AR34">
        <v>2072</v>
      </c>
      <c r="AS34">
        <v>85</v>
      </c>
      <c r="AU34">
        <f t="shared" si="1"/>
        <v>-8</v>
      </c>
      <c r="AV34">
        <f t="shared" si="2"/>
        <v>-4</v>
      </c>
      <c r="AW34">
        <f t="shared" si="3"/>
        <v>0</v>
      </c>
      <c r="AX34">
        <f t="shared" si="4"/>
        <v>-6</v>
      </c>
      <c r="AZ34" s="31"/>
      <c r="BA34" s="31"/>
      <c r="BB34" s="31">
        <v>-8</v>
      </c>
      <c r="BC34" s="31">
        <v>-4</v>
      </c>
      <c r="BD34">
        <v>0</v>
      </c>
      <c r="BH34">
        <v>-8</v>
      </c>
    </row>
    <row r="35" spans="1:60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K35" s="3"/>
      <c r="L35" t="s">
        <v>121</v>
      </c>
      <c r="M35">
        <v>2018</v>
      </c>
      <c r="N35">
        <v>20</v>
      </c>
      <c r="O35">
        <v>24</v>
      </c>
      <c r="P35">
        <v>20</v>
      </c>
      <c r="R35">
        <v>2045</v>
      </c>
      <c r="S35">
        <v>8</v>
      </c>
      <c r="T35">
        <v>24</v>
      </c>
      <c r="U35" t="s">
        <v>135</v>
      </c>
      <c r="AI35" t="s">
        <v>121</v>
      </c>
      <c r="AJ35">
        <v>2035</v>
      </c>
      <c r="AK35">
        <v>2050</v>
      </c>
      <c r="AL35">
        <v>2076</v>
      </c>
      <c r="AM35">
        <v>2090</v>
      </c>
      <c r="AO35">
        <v>2018</v>
      </c>
      <c r="AP35">
        <v>2038</v>
      </c>
      <c r="AQ35">
        <v>2062</v>
      </c>
      <c r="AR35">
        <v>2082</v>
      </c>
      <c r="AS35">
        <v>85</v>
      </c>
      <c r="AU35">
        <f t="shared" si="1"/>
        <v>17</v>
      </c>
      <c r="AV35">
        <f t="shared" si="2"/>
        <v>12</v>
      </c>
      <c r="AW35">
        <f t="shared" si="3"/>
        <v>14</v>
      </c>
      <c r="AX35">
        <f t="shared" si="4"/>
        <v>8</v>
      </c>
      <c r="AZ35" s="31"/>
      <c r="BA35" s="31"/>
      <c r="BB35" s="31">
        <v>17</v>
      </c>
      <c r="BC35" s="31">
        <v>12</v>
      </c>
      <c r="BD35">
        <v>14</v>
      </c>
      <c r="BH35">
        <v>17</v>
      </c>
    </row>
    <row r="36" spans="1:60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K36" s="3"/>
      <c r="L36" t="s">
        <v>122</v>
      </c>
      <c r="M36">
        <v>2018</v>
      </c>
      <c r="N36">
        <v>20</v>
      </c>
      <c r="O36">
        <v>24</v>
      </c>
      <c r="P36">
        <v>20</v>
      </c>
      <c r="R36">
        <v>2038</v>
      </c>
      <c r="S36">
        <v>12</v>
      </c>
      <c r="T36">
        <v>18</v>
      </c>
      <c r="U36">
        <v>13</v>
      </c>
      <c r="X36" t="s">
        <v>102</v>
      </c>
      <c r="Y36" t="s">
        <v>136</v>
      </c>
      <c r="Z36">
        <v>2023</v>
      </c>
      <c r="AA36">
        <v>22</v>
      </c>
      <c r="AB36">
        <v>0</v>
      </c>
      <c r="AC36">
        <v>0</v>
      </c>
      <c r="AI36" t="s">
        <v>122</v>
      </c>
      <c r="AJ36">
        <v>2035</v>
      </c>
      <c r="AK36">
        <v>2046</v>
      </c>
      <c r="AL36">
        <v>2063</v>
      </c>
      <c r="AM36">
        <v>2077</v>
      </c>
      <c r="AO36">
        <v>2018</v>
      </c>
      <c r="AP36">
        <v>2038</v>
      </c>
      <c r="AQ36">
        <v>2062</v>
      </c>
      <c r="AR36">
        <v>2082</v>
      </c>
      <c r="AS36">
        <v>85</v>
      </c>
      <c r="AU36">
        <f t="shared" si="1"/>
        <v>17</v>
      </c>
      <c r="AV36">
        <f t="shared" si="2"/>
        <v>8</v>
      </c>
      <c r="AW36">
        <f t="shared" si="3"/>
        <v>1</v>
      </c>
      <c r="AX36">
        <f t="shared" si="4"/>
        <v>-5</v>
      </c>
      <c r="AZ36" s="31"/>
      <c r="BA36" s="31"/>
      <c r="BB36" s="31">
        <v>17</v>
      </c>
      <c r="BC36" s="31">
        <v>8</v>
      </c>
      <c r="BD36">
        <v>1</v>
      </c>
      <c r="BH36">
        <v>17</v>
      </c>
    </row>
    <row r="37" spans="1:60" x14ac:dyDescent="0.2">
      <c r="A37" s="3">
        <v>0.86234560615966405</v>
      </c>
      <c r="B37" s="3">
        <v>0.77936709999999998</v>
      </c>
      <c r="Y37" t="s">
        <v>137</v>
      </c>
      <c r="AD37">
        <v>2050</v>
      </c>
      <c r="AE37">
        <v>11</v>
      </c>
      <c r="BH37">
        <v>3</v>
      </c>
    </row>
    <row r="38" spans="1:60" x14ac:dyDescent="0.2">
      <c r="A38" s="3">
        <v>0.86234560615966405</v>
      </c>
      <c r="B38" s="3">
        <v>1.1440437999999999</v>
      </c>
      <c r="BH38">
        <v>-3</v>
      </c>
    </row>
    <row r="39" spans="1:60" x14ac:dyDescent="0.2">
      <c r="A39" s="3">
        <v>0.62479549838627901</v>
      </c>
      <c r="B39" s="3">
        <v>0.83607894000000005</v>
      </c>
      <c r="X39" t="s">
        <v>103</v>
      </c>
      <c r="Y39" t="s">
        <v>136</v>
      </c>
      <c r="Z39">
        <v>2023</v>
      </c>
      <c r="AA39">
        <v>22</v>
      </c>
      <c r="AB39">
        <v>0</v>
      </c>
      <c r="AC39">
        <v>0</v>
      </c>
      <c r="BH39">
        <v>-5</v>
      </c>
    </row>
    <row r="40" spans="1:60" x14ac:dyDescent="0.2">
      <c r="A40" s="3">
        <v>1.99852194768752</v>
      </c>
      <c r="B40" s="3">
        <v>1.6673487</v>
      </c>
      <c r="Y40" t="s">
        <v>137</v>
      </c>
      <c r="AD40">
        <v>2032</v>
      </c>
      <c r="AE40">
        <v>20</v>
      </c>
      <c r="BH40">
        <v>12</v>
      </c>
    </row>
    <row r="41" spans="1:60" x14ac:dyDescent="0.2">
      <c r="A41" s="3">
        <v>1.99852194768752</v>
      </c>
      <c r="B41" s="3">
        <v>1.4296597</v>
      </c>
      <c r="BH41">
        <v>1</v>
      </c>
    </row>
    <row r="42" spans="1:60" x14ac:dyDescent="0.2">
      <c r="A42" s="3">
        <v>0.83404442313203897</v>
      </c>
      <c r="B42" s="3">
        <v>0.70583885999999996</v>
      </c>
      <c r="X42" t="s">
        <v>104</v>
      </c>
      <c r="Y42" t="s">
        <v>136</v>
      </c>
      <c r="Z42">
        <v>2023</v>
      </c>
      <c r="AA42">
        <v>22</v>
      </c>
      <c r="AB42">
        <v>0</v>
      </c>
      <c r="AC42">
        <v>0</v>
      </c>
      <c r="BH42">
        <v>19</v>
      </c>
    </row>
    <row r="43" spans="1:60" x14ac:dyDescent="0.2">
      <c r="A43" s="3">
        <v>0.83404442313203897</v>
      </c>
      <c r="B43" s="3">
        <v>0.74572194000000003</v>
      </c>
      <c r="Y43" t="s">
        <v>137</v>
      </c>
      <c r="AD43">
        <v>2031</v>
      </c>
      <c r="AE43">
        <v>34</v>
      </c>
      <c r="BH43">
        <v>21</v>
      </c>
    </row>
    <row r="44" spans="1:60" x14ac:dyDescent="0.2">
      <c r="A44" s="3">
        <v>0.99868554009331101</v>
      </c>
      <c r="B44" s="3">
        <v>0.79325056000000005</v>
      </c>
      <c r="BH44">
        <v>28</v>
      </c>
    </row>
    <row r="45" spans="1:60" x14ac:dyDescent="0.2">
      <c r="A45" s="3">
        <v>0.99868554009331101</v>
      </c>
      <c r="B45" s="3">
        <v>1.0605827999999999</v>
      </c>
      <c r="X45" t="s">
        <v>124</v>
      </c>
      <c r="Y45" t="s">
        <v>136</v>
      </c>
      <c r="Z45">
        <v>2023</v>
      </c>
      <c r="AA45">
        <v>22</v>
      </c>
      <c r="AB45">
        <v>0</v>
      </c>
      <c r="AC45">
        <v>0</v>
      </c>
      <c r="BH45">
        <v>10</v>
      </c>
    </row>
    <row r="46" spans="1:60" x14ac:dyDescent="0.2">
      <c r="A46" s="3">
        <v>1.5717548309150999</v>
      </c>
      <c r="B46" s="3">
        <v>1.0469978</v>
      </c>
      <c r="Y46" t="s">
        <v>137</v>
      </c>
      <c r="AD46">
        <v>2038</v>
      </c>
      <c r="AE46">
        <v>35</v>
      </c>
      <c r="BH46">
        <v>-10</v>
      </c>
    </row>
    <row r="47" spans="1:60" x14ac:dyDescent="0.2">
      <c r="A47" s="3">
        <v>1.5717548309150999</v>
      </c>
      <c r="B47" s="3">
        <v>1.2177255</v>
      </c>
      <c r="BH47">
        <v>-6</v>
      </c>
    </row>
    <row r="48" spans="1:60" x14ac:dyDescent="0.2">
      <c r="A48" s="3">
        <v>1.5717548309150999</v>
      </c>
      <c r="B48" s="3">
        <v>1.4378808999999999</v>
      </c>
      <c r="X48" t="s">
        <v>107</v>
      </c>
      <c r="Y48" t="s">
        <v>136</v>
      </c>
      <c r="Z48">
        <v>2017</v>
      </c>
      <c r="AA48">
        <v>17</v>
      </c>
      <c r="AB48">
        <v>44</v>
      </c>
      <c r="AC48">
        <v>0</v>
      </c>
      <c r="BH48">
        <v>36</v>
      </c>
    </row>
    <row r="49" spans="1:60" x14ac:dyDescent="0.2">
      <c r="A49" s="3">
        <v>0.94183442623305202</v>
      </c>
      <c r="B49" s="3">
        <v>0.70149916000000001</v>
      </c>
      <c r="Y49" t="s">
        <v>137</v>
      </c>
      <c r="AD49">
        <v>2038</v>
      </c>
      <c r="AE49">
        <v>32</v>
      </c>
      <c r="BH49">
        <v>-6</v>
      </c>
    </row>
    <row r="50" spans="1:60" x14ac:dyDescent="0.2">
      <c r="A50" s="3">
        <v>0.94183442623305202</v>
      </c>
      <c r="B50" s="3">
        <v>1.2004429999999999</v>
      </c>
      <c r="BH50">
        <v>7</v>
      </c>
    </row>
    <row r="51" spans="1:60" x14ac:dyDescent="0.2">
      <c r="A51" s="3">
        <v>0.90064316589890403</v>
      </c>
      <c r="B51" s="3">
        <v>0.98450917000000004</v>
      </c>
      <c r="X51" t="s">
        <v>108</v>
      </c>
      <c r="Y51" t="s">
        <v>136</v>
      </c>
      <c r="Z51">
        <v>2017</v>
      </c>
      <c r="AA51">
        <v>17</v>
      </c>
      <c r="AB51">
        <v>44</v>
      </c>
      <c r="AC51">
        <v>0</v>
      </c>
      <c r="BH51">
        <v>-1</v>
      </c>
    </row>
    <row r="52" spans="1:60" x14ac:dyDescent="0.2">
      <c r="A52" s="3">
        <v>1.65339945881786</v>
      </c>
      <c r="B52" s="3">
        <v>1.3713690999999999</v>
      </c>
      <c r="Y52" t="s">
        <v>137</v>
      </c>
      <c r="AD52">
        <v>2038</v>
      </c>
      <c r="AE52">
        <v>18</v>
      </c>
      <c r="BH52">
        <v>-5</v>
      </c>
    </row>
    <row r="53" spans="1:60" x14ac:dyDescent="0.2">
      <c r="A53" s="3">
        <v>1.65339945881786</v>
      </c>
      <c r="B53" s="3">
        <v>1.2717835</v>
      </c>
      <c r="BH53">
        <v>12</v>
      </c>
    </row>
    <row r="54" spans="1:60" x14ac:dyDescent="0.2">
      <c r="A54" s="3">
        <v>0.70197696001481202</v>
      </c>
      <c r="B54" s="3">
        <v>0.16441785</v>
      </c>
      <c r="X54" t="s">
        <v>105</v>
      </c>
      <c r="Y54" t="s">
        <v>136</v>
      </c>
      <c r="Z54">
        <v>2029</v>
      </c>
      <c r="AA54">
        <v>15</v>
      </c>
      <c r="AB54">
        <v>35</v>
      </c>
      <c r="AC54">
        <v>0</v>
      </c>
      <c r="BH54">
        <v>-1</v>
      </c>
    </row>
    <row r="55" spans="1:60" x14ac:dyDescent="0.2">
      <c r="A55" s="3">
        <v>0.70197696001481202</v>
      </c>
      <c r="B55" s="3">
        <v>0.69433429999999996</v>
      </c>
      <c r="Y55" t="s">
        <v>137</v>
      </c>
      <c r="AD55">
        <v>2025</v>
      </c>
      <c r="AE55">
        <v>16</v>
      </c>
      <c r="AF55">
        <v>28</v>
      </c>
      <c r="BH55">
        <v>20</v>
      </c>
    </row>
    <row r="56" spans="1:60" x14ac:dyDescent="0.2">
      <c r="A56" s="3">
        <v>0.89448763529455499</v>
      </c>
      <c r="B56" s="3">
        <v>0.7321299</v>
      </c>
      <c r="BH56">
        <v>7</v>
      </c>
    </row>
    <row r="57" spans="1:60" x14ac:dyDescent="0.2">
      <c r="A57" s="3">
        <v>0.89448763529455499</v>
      </c>
      <c r="B57" s="3">
        <v>0.86645360000000005</v>
      </c>
      <c r="X57" t="s">
        <v>106</v>
      </c>
      <c r="Y57" t="s">
        <v>136</v>
      </c>
      <c r="Z57">
        <v>2029</v>
      </c>
      <c r="AA57">
        <v>15</v>
      </c>
      <c r="AB57">
        <v>35</v>
      </c>
      <c r="AC57">
        <v>0</v>
      </c>
      <c r="BH57">
        <v>23</v>
      </c>
    </row>
    <row r="58" spans="1:60" x14ac:dyDescent="0.2">
      <c r="A58" s="3">
        <v>2.8577991666382299</v>
      </c>
      <c r="B58" s="3">
        <v>2.4161831999999999</v>
      </c>
      <c r="Y58" t="s">
        <v>137</v>
      </c>
      <c r="AD58">
        <v>2027</v>
      </c>
      <c r="AE58">
        <v>16</v>
      </c>
      <c r="AF58">
        <v>27</v>
      </c>
      <c r="BH58">
        <v>10</v>
      </c>
    </row>
    <row r="59" spans="1:60" x14ac:dyDescent="0.2">
      <c r="A59" s="3">
        <v>2.8577991666382299</v>
      </c>
      <c r="B59" s="3">
        <v>2.5177238000000002</v>
      </c>
      <c r="BH59">
        <v>-7</v>
      </c>
    </row>
    <row r="60" spans="1:60" x14ac:dyDescent="0.2">
      <c r="A60" s="3">
        <v>2.1307141433336501</v>
      </c>
      <c r="B60" s="3">
        <v>1.762397</v>
      </c>
      <c r="X60" t="s">
        <v>109</v>
      </c>
      <c r="Y60" t="s">
        <v>136</v>
      </c>
      <c r="Z60">
        <v>2023</v>
      </c>
      <c r="AA60">
        <v>22</v>
      </c>
      <c r="AB60">
        <v>0</v>
      </c>
      <c r="AC60">
        <v>0</v>
      </c>
      <c r="BH60">
        <v>-4</v>
      </c>
    </row>
    <row r="61" spans="1:60" x14ac:dyDescent="0.2">
      <c r="A61" s="3">
        <v>2.1307141433336501</v>
      </c>
      <c r="B61" s="3">
        <v>2.1931251999999999</v>
      </c>
      <c r="Y61" t="s">
        <v>137</v>
      </c>
      <c r="AD61">
        <v>2039</v>
      </c>
      <c r="AE61">
        <v>51</v>
      </c>
      <c r="BH61">
        <v>12</v>
      </c>
    </row>
    <row r="62" spans="1:60" x14ac:dyDescent="0.2">
      <c r="A62" s="3">
        <v>2.6047206391182098</v>
      </c>
      <c r="B62" s="3">
        <v>2.019355</v>
      </c>
      <c r="BH62">
        <v>8</v>
      </c>
    </row>
    <row r="63" spans="1:60" x14ac:dyDescent="0.2">
      <c r="A63" s="3">
        <v>2.6047206391182098</v>
      </c>
      <c r="B63" s="3">
        <v>2.6094992000000001</v>
      </c>
      <c r="X63" t="s">
        <v>110</v>
      </c>
      <c r="Y63" t="s">
        <v>136</v>
      </c>
      <c r="Z63">
        <v>2023</v>
      </c>
      <c r="AA63">
        <v>22</v>
      </c>
      <c r="AB63">
        <v>0</v>
      </c>
      <c r="AC63">
        <v>0</v>
      </c>
      <c r="BH63">
        <v>1</v>
      </c>
    </row>
    <row r="64" spans="1:60" x14ac:dyDescent="0.2">
      <c r="A64" s="3">
        <v>2.6047206391182098</v>
      </c>
      <c r="B64" s="3">
        <v>2.7811110000000001</v>
      </c>
      <c r="Y64" t="s">
        <v>137</v>
      </c>
      <c r="AD64">
        <v>2034</v>
      </c>
      <c r="AE64">
        <v>36</v>
      </c>
      <c r="BH64">
        <v>-18</v>
      </c>
    </row>
    <row r="65" spans="1:60" x14ac:dyDescent="0.2">
      <c r="A65" s="3">
        <v>1.93926760911421</v>
      </c>
      <c r="B65" s="3">
        <v>1.7608200000000001</v>
      </c>
      <c r="BH65">
        <v>-15</v>
      </c>
    </row>
    <row r="66" spans="1:60" x14ac:dyDescent="0.2">
      <c r="A66" s="3">
        <v>1.93926760911421</v>
      </c>
      <c r="B66" s="3">
        <v>2.6340458</v>
      </c>
      <c r="X66" t="s">
        <v>111</v>
      </c>
      <c r="Y66" t="s">
        <v>136</v>
      </c>
      <c r="Z66">
        <v>2031</v>
      </c>
      <c r="AA66">
        <v>15</v>
      </c>
      <c r="AB66">
        <v>22</v>
      </c>
      <c r="AC66">
        <v>20</v>
      </c>
      <c r="BH66">
        <v>4</v>
      </c>
    </row>
    <row r="67" spans="1:60" x14ac:dyDescent="0.2">
      <c r="A67" s="3">
        <v>1.5027791696181101</v>
      </c>
      <c r="B67" s="3">
        <v>1.5260384</v>
      </c>
      <c r="Y67" t="s">
        <v>137</v>
      </c>
      <c r="AD67">
        <v>2042</v>
      </c>
      <c r="AE67">
        <v>13</v>
      </c>
      <c r="AF67">
        <v>21</v>
      </c>
      <c r="BH67">
        <v>-3</v>
      </c>
    </row>
    <row r="68" spans="1:60" x14ac:dyDescent="0.2">
      <c r="A68" s="3">
        <v>2.85472428786268</v>
      </c>
      <c r="B68" s="3">
        <v>2.4136199999999999</v>
      </c>
      <c r="BH68">
        <v>-9</v>
      </c>
    </row>
    <row r="69" spans="1:60" x14ac:dyDescent="0.2">
      <c r="A69" s="3">
        <v>2.85472428786268</v>
      </c>
      <c r="B69" s="3">
        <v>2.2678582999999999</v>
      </c>
      <c r="X69" t="s">
        <v>112</v>
      </c>
      <c r="Y69" t="s">
        <v>136</v>
      </c>
      <c r="Z69">
        <v>2031</v>
      </c>
      <c r="AA69">
        <v>15</v>
      </c>
      <c r="AB69">
        <v>22</v>
      </c>
      <c r="AC69">
        <v>20</v>
      </c>
      <c r="BH69">
        <v>14</v>
      </c>
    </row>
    <row r="70" spans="1:60" x14ac:dyDescent="0.2">
      <c r="A70" s="3">
        <v>2.0070241649878402</v>
      </c>
      <c r="B70" s="3">
        <v>0.91975899999999999</v>
      </c>
      <c r="Y70" t="s">
        <v>137</v>
      </c>
      <c r="AD70">
        <v>2038</v>
      </c>
      <c r="AE70">
        <v>11</v>
      </c>
      <c r="AF70">
        <v>17</v>
      </c>
      <c r="AG70">
        <v>17</v>
      </c>
      <c r="BH70">
        <v>-3</v>
      </c>
    </row>
    <row r="71" spans="1:60" x14ac:dyDescent="0.2">
      <c r="A71" s="3">
        <v>2.0070241649878402</v>
      </c>
      <c r="B71" s="3">
        <v>2.0894370000000002</v>
      </c>
      <c r="BH71">
        <v>10</v>
      </c>
    </row>
    <row r="72" spans="1:60" x14ac:dyDescent="0.2">
      <c r="A72" s="3">
        <v>2.13368631998694</v>
      </c>
      <c r="B72" s="3">
        <v>1.7708900999999999</v>
      </c>
      <c r="X72" t="s">
        <v>113</v>
      </c>
      <c r="Y72" t="s">
        <v>136</v>
      </c>
      <c r="Z72">
        <v>2031</v>
      </c>
      <c r="AA72">
        <v>15</v>
      </c>
      <c r="AB72">
        <v>22</v>
      </c>
      <c r="AC72">
        <v>20</v>
      </c>
      <c r="BH72">
        <v>13</v>
      </c>
    </row>
    <row r="73" spans="1:60" x14ac:dyDescent="0.2">
      <c r="A73" s="3">
        <v>2.13368631998694</v>
      </c>
      <c r="B73" s="3">
        <v>2.1349062999999999</v>
      </c>
      <c r="Y73" t="s">
        <v>137</v>
      </c>
      <c r="AD73">
        <v>2032</v>
      </c>
      <c r="AE73">
        <v>14</v>
      </c>
      <c r="AF73">
        <v>16</v>
      </c>
      <c r="AG73">
        <v>18</v>
      </c>
      <c r="BH73">
        <v>19</v>
      </c>
    </row>
    <row r="74" spans="1:60" x14ac:dyDescent="0.2">
      <c r="A74" s="3">
        <v>3.8460715047062499</v>
      </c>
      <c r="B74" s="3">
        <v>3.0102582</v>
      </c>
      <c r="BH74">
        <v>4</v>
      </c>
    </row>
    <row r="75" spans="1:60" x14ac:dyDescent="0.2">
      <c r="A75" s="3">
        <v>3.8460715047062499</v>
      </c>
      <c r="B75" s="3">
        <v>3.5986015999999998</v>
      </c>
      <c r="X75" t="s">
        <v>114</v>
      </c>
      <c r="Y75" t="s">
        <v>136</v>
      </c>
      <c r="Z75">
        <v>2019</v>
      </c>
      <c r="AA75">
        <v>16</v>
      </c>
      <c r="AB75">
        <v>26</v>
      </c>
      <c r="AC75">
        <v>0</v>
      </c>
      <c r="BH75">
        <v>-2</v>
      </c>
    </row>
    <row r="76" spans="1:60" x14ac:dyDescent="0.2">
      <c r="A76" s="3">
        <v>3.8460715047062499</v>
      </c>
      <c r="B76" s="3">
        <v>3.9668462</v>
      </c>
      <c r="Y76" t="s">
        <v>137</v>
      </c>
      <c r="AD76">
        <v>2041</v>
      </c>
      <c r="AE76">
        <v>13</v>
      </c>
      <c r="AF76">
        <v>23</v>
      </c>
      <c r="AG76">
        <v>13</v>
      </c>
      <c r="BH76">
        <v>0</v>
      </c>
    </row>
    <row r="77" spans="1:60" x14ac:dyDescent="0.2">
      <c r="A77" s="3">
        <v>2.9187363127111499</v>
      </c>
      <c r="B77" s="3">
        <v>3.250985</v>
      </c>
      <c r="BH77">
        <v>14</v>
      </c>
    </row>
    <row r="78" spans="1:60" x14ac:dyDescent="0.2">
      <c r="A78" s="3">
        <v>4.2617375100454602</v>
      </c>
      <c r="B78" s="3">
        <v>3.6632657000000002</v>
      </c>
      <c r="X78" t="s">
        <v>115</v>
      </c>
      <c r="Y78" t="s">
        <v>136</v>
      </c>
      <c r="Z78">
        <v>2019</v>
      </c>
      <c r="AA78">
        <v>16</v>
      </c>
      <c r="AB78">
        <v>26</v>
      </c>
      <c r="AC78">
        <v>0</v>
      </c>
      <c r="BH78">
        <v>1</v>
      </c>
    </row>
    <row r="79" spans="1:60" x14ac:dyDescent="0.2">
      <c r="A79" s="3">
        <v>4.2617375100454602</v>
      </c>
      <c r="B79" s="3">
        <v>3.5443655999999999</v>
      </c>
      <c r="Y79" t="s">
        <v>137</v>
      </c>
      <c r="AD79">
        <v>2028</v>
      </c>
      <c r="AE79">
        <v>12</v>
      </c>
      <c r="AF79">
        <v>19</v>
      </c>
      <c r="AG79">
        <v>18</v>
      </c>
      <c r="BH79">
        <v>-9</v>
      </c>
    </row>
    <row r="80" spans="1:60" x14ac:dyDescent="0.2">
      <c r="A80" s="3">
        <v>3.2069946275303298</v>
      </c>
      <c r="B80" s="3">
        <v>2.1218149999999998</v>
      </c>
      <c r="BH80">
        <v>-12</v>
      </c>
    </row>
    <row r="81" spans="1:60" x14ac:dyDescent="0.2">
      <c r="A81" s="3">
        <v>3.2069946275303298</v>
      </c>
      <c r="B81" s="3">
        <v>3.1780202000000002</v>
      </c>
      <c r="X81" t="s">
        <v>116</v>
      </c>
      <c r="Y81" t="s">
        <v>136</v>
      </c>
      <c r="Z81">
        <v>2020</v>
      </c>
      <c r="AA81">
        <v>16</v>
      </c>
      <c r="AB81">
        <v>26</v>
      </c>
      <c r="AC81">
        <v>21</v>
      </c>
      <c r="BH81">
        <v>-1</v>
      </c>
    </row>
    <row r="82" spans="1:60" x14ac:dyDescent="0.2">
      <c r="A82" s="3">
        <v>3.25464655558264</v>
      </c>
      <c r="B82" s="3">
        <v>2.7940573999999998</v>
      </c>
      <c r="Y82" t="s">
        <v>137</v>
      </c>
      <c r="AD82">
        <v>2030</v>
      </c>
      <c r="AE82">
        <v>28</v>
      </c>
      <c r="AF82">
        <v>15</v>
      </c>
      <c r="AG82">
        <v>14</v>
      </c>
      <c r="BH82">
        <v>5</v>
      </c>
    </row>
    <row r="83" spans="1:60" x14ac:dyDescent="0.2">
      <c r="A83" s="3">
        <v>3.25464655558264</v>
      </c>
      <c r="B83" s="3">
        <v>3.4961212000000002</v>
      </c>
      <c r="BH83">
        <v>0</v>
      </c>
    </row>
    <row r="84" spans="1:60" x14ac:dyDescent="0.2">
      <c r="X84" t="s">
        <v>125</v>
      </c>
      <c r="Y84" t="s">
        <v>136</v>
      </c>
      <c r="Z84">
        <v>2020</v>
      </c>
      <c r="AA84">
        <v>16</v>
      </c>
      <c r="AB84">
        <v>26</v>
      </c>
      <c r="AC84">
        <v>21</v>
      </c>
      <c r="BH84">
        <v>-7</v>
      </c>
    </row>
    <row r="85" spans="1:60" x14ac:dyDescent="0.2">
      <c r="Y85" t="s">
        <v>137</v>
      </c>
      <c r="AD85">
        <v>2029</v>
      </c>
      <c r="AE85">
        <v>25</v>
      </c>
      <c r="AF85">
        <v>23</v>
      </c>
      <c r="BH85">
        <v>-6</v>
      </c>
    </row>
    <row r="86" spans="1:60" x14ac:dyDescent="0.2">
      <c r="BH86">
        <v>8</v>
      </c>
    </row>
    <row r="87" spans="1:60" x14ac:dyDescent="0.2">
      <c r="X87" t="s">
        <v>119</v>
      </c>
      <c r="Y87" t="s">
        <v>136</v>
      </c>
      <c r="Z87">
        <v>2016</v>
      </c>
      <c r="AA87">
        <v>15</v>
      </c>
      <c r="AB87">
        <v>20</v>
      </c>
      <c r="AC87">
        <v>16</v>
      </c>
      <c r="BH87">
        <v>-5</v>
      </c>
    </row>
    <row r="88" spans="1:60" x14ac:dyDescent="0.2">
      <c r="Y88" t="s">
        <v>137</v>
      </c>
      <c r="AD88">
        <v>2051</v>
      </c>
      <c r="AE88">
        <v>7</v>
      </c>
      <c r="AF88">
        <v>18</v>
      </c>
    </row>
    <row r="90" spans="1:60" x14ac:dyDescent="0.2">
      <c r="X90" t="s">
        <v>120</v>
      </c>
      <c r="Y90" t="s">
        <v>136</v>
      </c>
      <c r="Z90">
        <v>2016</v>
      </c>
      <c r="AA90">
        <v>15</v>
      </c>
      <c r="AB90">
        <v>20</v>
      </c>
      <c r="AC90">
        <v>16</v>
      </c>
    </row>
    <row r="91" spans="1:60" x14ac:dyDescent="0.2">
      <c r="Y91" t="s">
        <v>137</v>
      </c>
      <c r="AD91">
        <v>2035</v>
      </c>
      <c r="AE91">
        <v>8</v>
      </c>
      <c r="AF91">
        <v>15</v>
      </c>
      <c r="AG91">
        <v>13</v>
      </c>
    </row>
    <row r="93" spans="1:60" x14ac:dyDescent="0.2">
      <c r="X93" t="s">
        <v>117</v>
      </c>
      <c r="Y93" t="s">
        <v>136</v>
      </c>
      <c r="Z93">
        <v>2024</v>
      </c>
      <c r="AA93">
        <v>12</v>
      </c>
      <c r="AB93">
        <v>19</v>
      </c>
      <c r="AC93">
        <v>17</v>
      </c>
    </row>
    <row r="94" spans="1:60" x14ac:dyDescent="0.2">
      <c r="Y94" t="s">
        <v>137</v>
      </c>
      <c r="AD94">
        <v>2023</v>
      </c>
      <c r="AE94">
        <v>11</v>
      </c>
      <c r="AF94">
        <v>22</v>
      </c>
      <c r="AG94">
        <v>11</v>
      </c>
    </row>
    <row r="96" spans="1:60" x14ac:dyDescent="0.2">
      <c r="X96" t="s">
        <v>118</v>
      </c>
      <c r="Y96" t="s">
        <v>136</v>
      </c>
      <c r="Z96">
        <v>2024</v>
      </c>
      <c r="AA96">
        <v>12</v>
      </c>
      <c r="AB96">
        <v>19</v>
      </c>
      <c r="AC96">
        <v>17</v>
      </c>
    </row>
    <row r="97" spans="24:33" x14ac:dyDescent="0.2">
      <c r="Y97" t="s">
        <v>137</v>
      </c>
      <c r="AD97">
        <v>2022</v>
      </c>
      <c r="AE97">
        <v>12</v>
      </c>
      <c r="AF97">
        <v>22</v>
      </c>
      <c r="AG97">
        <v>14</v>
      </c>
    </row>
    <row r="99" spans="24:33" x14ac:dyDescent="0.2">
      <c r="X99" t="s">
        <v>121</v>
      </c>
      <c r="Y99" t="s">
        <v>136</v>
      </c>
      <c r="Z99">
        <v>2018</v>
      </c>
      <c r="AA99">
        <v>20</v>
      </c>
      <c r="AB99">
        <v>24</v>
      </c>
      <c r="AC99">
        <v>20</v>
      </c>
    </row>
    <row r="100" spans="24:33" x14ac:dyDescent="0.2">
      <c r="Y100" t="s">
        <v>137</v>
      </c>
      <c r="AD100">
        <v>2045</v>
      </c>
      <c r="AE100">
        <v>8</v>
      </c>
      <c r="AF100">
        <v>24</v>
      </c>
    </row>
    <row r="102" spans="24:33" x14ac:dyDescent="0.2">
      <c r="X102" t="s">
        <v>122</v>
      </c>
      <c r="Y102" t="s">
        <v>136</v>
      </c>
      <c r="Z102">
        <v>2018</v>
      </c>
      <c r="AA102">
        <v>20</v>
      </c>
      <c r="AB102">
        <v>24</v>
      </c>
      <c r="AC102">
        <v>20</v>
      </c>
    </row>
    <row r="103" spans="24:33" x14ac:dyDescent="0.2">
      <c r="Y103" t="s">
        <v>137</v>
      </c>
      <c r="AD103">
        <v>2038</v>
      </c>
      <c r="AE103">
        <v>12</v>
      </c>
      <c r="AF103">
        <v>18</v>
      </c>
      <c r="AG103">
        <v>13</v>
      </c>
    </row>
  </sheetData>
  <sortState xmlns:xlrd2="http://schemas.microsoft.com/office/spreadsheetml/2017/richdata2" ref="AO3:AS36">
    <sortCondition ref="AS3:AS36"/>
  </sortState>
  <mergeCells count="5">
    <mergeCell ref="L1:P1"/>
    <mergeCell ref="R1:U1"/>
    <mergeCell ref="AJ1:AM1"/>
    <mergeCell ref="AO1:AS1"/>
    <mergeCell ref="AU1:AX1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7</vt:i4>
      </vt:variant>
    </vt:vector>
  </HeadingPairs>
  <TitlesOfParts>
    <vt:vector size="11" baseType="lpstr">
      <vt:lpstr>lookup_table</vt:lpstr>
      <vt:lpstr>Tabelle2</vt:lpstr>
      <vt:lpstr>Tabelle1</vt:lpstr>
      <vt:lpstr>ccs_aut_oeks gwl vs rcp</vt:lpstr>
      <vt:lpstr>year_of_reaching_gwl_all_mods</vt:lpstr>
      <vt:lpstr>year_of _reaching_gwl_CM5_CM6</vt:lpstr>
      <vt:lpstr>year_of_reaching_diff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2023-10-19T12:32:22Z</dcterms:modified>
</cp:coreProperties>
</file>