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ecsi/Desktop/Arbeit/Qgis/data/AAR2/GWLs/"/>
    </mc:Choice>
  </mc:AlternateContent>
  <xr:revisionPtr revIDLastSave="0" documentId="13_ncr:1_{2A34DFA2-B4A9-734D-8FDE-759DD7DE53C0}" xr6:coauthVersionLast="47" xr6:coauthVersionMax="47" xr10:uidLastSave="{00000000-0000-0000-0000-000000000000}"/>
  <bookViews>
    <workbookView xWindow="0" yWindow="500" windowWidth="38400" windowHeight="22120" activeTab="2" xr2:uid="{B7CF2435-4AB2-8449-A283-99C1C1B4CF66}"/>
  </bookViews>
  <sheets>
    <sheet name="lookup_table" sheetId="8" r:id="rId1"/>
    <sheet name="Tabelle2" sheetId="2" r:id="rId2"/>
    <sheet name="Tabelle1" sheetId="6" r:id="rId3"/>
    <sheet name="year_of_reaching_gwl_all_mods" sheetId="10" r:id="rId4"/>
    <sheet name="year_of _reaching_gwl_CM5_CM6" sheetId="12" r:id="rId5"/>
    <sheet name="year_of_reaching_diff" sheetId="14" r:id="rId6"/>
    <sheet name="ccs_aut_gcm vs. ccs_oeks15" sheetId="7" r:id="rId7"/>
    <sheet name="ccs_aut_oeks gwl vs rcp" sheetId="9" r:id="rId8"/>
  </sheets>
  <definedNames>
    <definedName name="_xlchart.v1.0" hidden="1">(Tabelle1!$BB$3:$BB$8,Tabelle1!$BB$10:$BB$11,Tabelle1!$BB$13:$BB$31,Tabelle1!$BB$33:$BB$36)</definedName>
    <definedName name="_xlchart.v1.1" hidden="1">(Tabelle1!$BC$3:$BC$8,Tabelle1!$BC$13:$BC$24,Tabelle1!$BC$26:$BC$29,Tabelle1!$BC$33:$BC$36)</definedName>
    <definedName name="_xlchart.v1.10" hidden="1">(Tabelle1!$BB$3:$BB$8,Tabelle1!$BB$10:$BB$11,Tabelle1!$BB$13:$BB$31,Tabelle1!$BB$33:$BB$36)</definedName>
    <definedName name="_xlchart.v1.11" hidden="1">(Tabelle1!$BC$3:$BC$8,Tabelle1!$BC$13:$BC$24,Tabelle1!$BC$26:$BC$29,Tabelle1!$BC$33:$BC$36)</definedName>
    <definedName name="_xlchart.v1.12" hidden="1">(Tabelle1!$BD$6:$BD$8,Tabelle1!$BD$17:$BD$20,Tabelle1!$BD$23:$BD$24,Tabelle1!$BD$26:$BD$29,Tabelle1!$BD$35:$BD$36)</definedName>
    <definedName name="_xlchart.v1.13" hidden="1">(Tabelle1!$BE$7:$BE$8,Tabelle1!$BE$19,Tabelle1!$BE$24,Tabelle1!$BE$28:$BE$29,Tabelle1!$BE$35:$BE$36)</definedName>
    <definedName name="_xlchart.v1.14" hidden="1">Tabelle1!$AY$44</definedName>
    <definedName name="_xlchart.v1.15" hidden="1">Tabelle1!$D$2</definedName>
    <definedName name="_xlchart.v1.16" hidden="1">Tabelle1!$D$3:$D$15</definedName>
    <definedName name="_xlchart.v1.17" hidden="1">Tabelle1!$E$2</definedName>
    <definedName name="_xlchart.v1.18" hidden="1">Tabelle1!$E$3:$E$15</definedName>
    <definedName name="_xlchart.v1.19" hidden="1">Tabelle1!$F$2</definedName>
    <definedName name="_xlchart.v1.2" hidden="1">(Tabelle1!$BD$6:$BD$8,Tabelle1!$BD$17:$BD$20,Tabelle1!$BD$23:$BD$24,Tabelle1!$BD$26:$BD$29,Tabelle1!$BD$35:$BD$36)</definedName>
    <definedName name="_xlchart.v1.20" hidden="1">Tabelle1!$F$3:$F$15</definedName>
    <definedName name="_xlchart.v1.21" hidden="1">Tabelle1!$G$3:$G$36</definedName>
    <definedName name="_xlchart.v1.22" hidden="1">Tabelle1!$H$3:$H$36</definedName>
    <definedName name="_xlchart.v1.23" hidden="1">Tabelle1!$I$3:$I$36</definedName>
    <definedName name="_xlchart.v1.24" hidden="1">Tabelle1!$J$3:$J$36</definedName>
    <definedName name="_xlchart.v1.3" hidden="1">(Tabelle1!$BE$7:$BE$8,Tabelle1!$BE$19,Tabelle1!$BE$24,Tabelle1!$BE$28:$BE$29,Tabelle1!$BE$35:$BE$36)</definedName>
    <definedName name="_xlchart.v1.4" hidden="1">Tabelle1!$AY$44</definedName>
    <definedName name="_xlchart.v1.5" hidden="1">(Tabelle1!$BB$3:$BB$8,Tabelle1!$BB$10:$BB$11,Tabelle1!$BB$13:$BB$31,Tabelle1!$BB$33:$BB$36)</definedName>
    <definedName name="_xlchart.v1.6" hidden="1">(Tabelle1!$BC$3:$BC$8,Tabelle1!$BC$13:$BC$24,Tabelle1!$BC$26:$BC$29,Tabelle1!$BC$33:$BC$36)</definedName>
    <definedName name="_xlchart.v1.7" hidden="1">(Tabelle1!$BD$6:$BD$8,Tabelle1!$BD$17:$BD$20,Tabelle1!$BD$23:$BD$24,Tabelle1!$BD$26:$BD$29,Tabelle1!$BD$35:$BD$36)</definedName>
    <definedName name="_xlchart.v1.8" hidden="1">(Tabelle1!$BE$7:$BE$8,Tabelle1!$BE$19,Tabelle1!$BE$24,Tabelle1!$BE$28:$BE$29,Tabelle1!$BE$35:$BE$36)</definedName>
    <definedName name="_xlchart.v1.9" hidden="1">Tabelle1!$AY$44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1" i="6" l="1"/>
  <c r="AK41" i="6"/>
  <c r="AL41" i="6"/>
  <c r="AM41" i="6"/>
  <c r="AO41" i="6"/>
  <c r="AP41" i="6"/>
  <c r="AQ41" i="6"/>
  <c r="AR41" i="6"/>
  <c r="AR40" i="6"/>
  <c r="AQ40" i="6"/>
  <c r="AP40" i="6"/>
  <c r="AO40" i="6"/>
  <c r="AK40" i="6"/>
  <c r="AL40" i="6"/>
  <c r="AM40" i="6"/>
  <c r="AJ40" i="6"/>
  <c r="BE46" i="6"/>
  <c r="BE45" i="6"/>
  <c r="AU4" i="6"/>
  <c r="AV4" i="6"/>
  <c r="AW4" i="6"/>
  <c r="AX4" i="6"/>
  <c r="AU5" i="6"/>
  <c r="AV5" i="6"/>
  <c r="AW5" i="6"/>
  <c r="AX5" i="6"/>
  <c r="AU6" i="6"/>
  <c r="AV6" i="6"/>
  <c r="AW6" i="6"/>
  <c r="AX6" i="6"/>
  <c r="AU7" i="6"/>
  <c r="AV7" i="6"/>
  <c r="AW7" i="6"/>
  <c r="AX7" i="6"/>
  <c r="AU8" i="6"/>
  <c r="AV8" i="6"/>
  <c r="AW8" i="6"/>
  <c r="AX8" i="6"/>
  <c r="AU9" i="6"/>
  <c r="AV9" i="6"/>
  <c r="AW9" i="6"/>
  <c r="AX9" i="6"/>
  <c r="AU10" i="6"/>
  <c r="AV10" i="6"/>
  <c r="AW10" i="6"/>
  <c r="AX10" i="6"/>
  <c r="AU11" i="6"/>
  <c r="AV11" i="6"/>
  <c r="AW11" i="6"/>
  <c r="AX11" i="6"/>
  <c r="AU12" i="6"/>
  <c r="AV12" i="6"/>
  <c r="AW12" i="6"/>
  <c r="AX12" i="6"/>
  <c r="AU13" i="6"/>
  <c r="AV13" i="6"/>
  <c r="AW13" i="6"/>
  <c r="AX13" i="6"/>
  <c r="AU14" i="6"/>
  <c r="AV14" i="6"/>
  <c r="AW14" i="6"/>
  <c r="AX14" i="6"/>
  <c r="AU15" i="6"/>
  <c r="AV15" i="6"/>
  <c r="AW15" i="6"/>
  <c r="AX15" i="6"/>
  <c r="AU16" i="6"/>
  <c r="AV16" i="6"/>
  <c r="AW16" i="6"/>
  <c r="AX16" i="6"/>
  <c r="AU17" i="6"/>
  <c r="AV17" i="6"/>
  <c r="AW17" i="6"/>
  <c r="AX17" i="6"/>
  <c r="AU18" i="6"/>
  <c r="AV18" i="6"/>
  <c r="AW18" i="6"/>
  <c r="AX18" i="6"/>
  <c r="AU19" i="6"/>
  <c r="AV19" i="6"/>
  <c r="AW19" i="6"/>
  <c r="AX19" i="6"/>
  <c r="AU20" i="6"/>
  <c r="AV20" i="6"/>
  <c r="AW20" i="6"/>
  <c r="AX20" i="6"/>
  <c r="AU21" i="6"/>
  <c r="AV21" i="6"/>
  <c r="AW21" i="6"/>
  <c r="AX21" i="6"/>
  <c r="AU22" i="6"/>
  <c r="AV22" i="6"/>
  <c r="AW22" i="6"/>
  <c r="AX22" i="6"/>
  <c r="AU23" i="6"/>
  <c r="AV23" i="6"/>
  <c r="AW23" i="6"/>
  <c r="AX23" i="6"/>
  <c r="AU24" i="6"/>
  <c r="AV24" i="6"/>
  <c r="AW24" i="6"/>
  <c r="AX24" i="6"/>
  <c r="AU25" i="6"/>
  <c r="AV25" i="6"/>
  <c r="AW25" i="6"/>
  <c r="AX25" i="6"/>
  <c r="AU26" i="6"/>
  <c r="AV26" i="6"/>
  <c r="AW26" i="6"/>
  <c r="AX26" i="6"/>
  <c r="AU27" i="6"/>
  <c r="AV27" i="6"/>
  <c r="AW27" i="6"/>
  <c r="AX27" i="6"/>
  <c r="AU28" i="6"/>
  <c r="AV28" i="6"/>
  <c r="AW28" i="6"/>
  <c r="AX28" i="6"/>
  <c r="AU29" i="6"/>
  <c r="AV29" i="6"/>
  <c r="AW29" i="6"/>
  <c r="AX29" i="6"/>
  <c r="AU30" i="6"/>
  <c r="AV30" i="6"/>
  <c r="AW30" i="6"/>
  <c r="AX30" i="6"/>
  <c r="AU31" i="6"/>
  <c r="AV31" i="6"/>
  <c r="AW31" i="6"/>
  <c r="AX31" i="6"/>
  <c r="AU32" i="6"/>
  <c r="AV32" i="6"/>
  <c r="AW32" i="6"/>
  <c r="AX32" i="6"/>
  <c r="AU33" i="6"/>
  <c r="AV33" i="6"/>
  <c r="AW33" i="6"/>
  <c r="AX33" i="6"/>
  <c r="AU34" i="6"/>
  <c r="AV34" i="6"/>
  <c r="AW34" i="6"/>
  <c r="AX34" i="6"/>
  <c r="AU35" i="6"/>
  <c r="AV35" i="6"/>
  <c r="AW35" i="6"/>
  <c r="AX35" i="6"/>
  <c r="AU36" i="6"/>
  <c r="AV36" i="6"/>
  <c r="AW36" i="6"/>
  <c r="AX36" i="6"/>
  <c r="AV3" i="6"/>
  <c r="AW3" i="6"/>
  <c r="AX3" i="6"/>
  <c r="AU3" i="6"/>
</calcChain>
</file>

<file path=xl/sharedStrings.xml><?xml version="1.0" encoding="utf-8"?>
<sst xmlns="http://schemas.openxmlformats.org/spreadsheetml/2006/main" count="646" uniqueCount="151">
  <si>
    <t>Linked models</t>
  </si>
  <si>
    <t>Mean year per GWL</t>
  </si>
  <si>
    <t>Period per GWL</t>
  </si>
  <si>
    <t>GCM (CMIP5)</t>
  </si>
  <si>
    <t>OEKS15 ensemble member</t>
  </si>
  <si>
    <t>1.5°C</t>
  </si>
  <si>
    <t>2.0°C</t>
  </si>
  <si>
    <t>3.0°C</t>
  </si>
  <si>
    <t>4.0°C</t>
  </si>
  <si>
    <t>EC-EARTH_rcp26_r12i1p1</t>
  </si>
  <si>
    <t>SDM_ICHEC-EC-EARTH_rcp26_r12i1p1_CLMcom-CCLM4-8-17_all</t>
  </si>
  <si>
    <t>2014-2033</t>
  </si>
  <si>
    <t>SDM_ICHEC-EC-EARTH_rcp26_r12i1p1_KNMI-RACMO22E_all</t>
  </si>
  <si>
    <t>SDM_ICHEC-EC-EARTH_rcp26_r12i1p1_SMHI-RCA4_all</t>
  </si>
  <si>
    <t>HadGEM2-ES_rcp26_r1i1p1</t>
  </si>
  <si>
    <t>SDM_MOHC-HadGEM2-ES_rcp26_r1i1p1_SMHI-RCA4_all</t>
  </si>
  <si>
    <t>MPI-ESM-LR_rcp26_r1i1p1</t>
  </si>
  <si>
    <t>SDM_MPI-M-MPI-ESM-LR_rcp26_r1i1p1_MPI-CSC-REMO2009_all</t>
  </si>
  <si>
    <t>2013-2032</t>
  </si>
  <si>
    <t>SDM_MPI-M-MPI-ESM-LR_rcp26_r1i1p1_SMHI-RCA4_all</t>
  </si>
  <si>
    <t>MPI-ESM-LR_rcp26_r2i1p1</t>
  </si>
  <si>
    <t>SDM_MPI-M-MPI-ESM-LR_rcp26_r2i1p1_MPI-CSC-REMO2009_all</t>
  </si>
  <si>
    <t>2007-2026</t>
  </si>
  <si>
    <t>CNRM-CM5_rcp45_r1i1p1</t>
  </si>
  <si>
    <t>SDM_CNRM-CERFACS-CNRM-CM5_rcp45_r1i1p1_CLMcom-CCLM4-8-17</t>
  </si>
  <si>
    <t>2028-2047</t>
  </si>
  <si>
    <t>2049-2068</t>
  </si>
  <si>
    <t>SDM_CNRM-CERFACS-CNRM-CM5_rcp45_r1i1p1_CNRM-ALADIN53</t>
  </si>
  <si>
    <t>SDM_CNRM-CERFACS-CNRM-CM5_rcp45_r1i1p1_SMHI-RCA4</t>
  </si>
  <si>
    <t>EC-EARTH_rcp45_r12i1p1</t>
  </si>
  <si>
    <t>SDM_ICHEC-EC-EARTH_rcp45_r12i1p1_CLMcom-CCLM4-8-17</t>
  </si>
  <si>
    <t>2035-2054</t>
  </si>
  <si>
    <t>SDM_ICHEC-EC-EARTH_rcp45_r12i1p1_SMHI-RCA4</t>
  </si>
  <si>
    <t>EC-EARTH_rcp45_r1i1p1</t>
  </si>
  <si>
    <t>SDM_ICHEC-EC-EARTH_rcp45_r1i1p1_KNMI-RACMO22E</t>
  </si>
  <si>
    <t>HadGEM2-ES_rcp45_r1i1p1</t>
  </si>
  <si>
    <t>SDM_MOHC-HadGEM2-ES_rcp45_r1i1p1_CLMcom-CCLM4-8-17</t>
  </si>
  <si>
    <t>2019-2038</t>
  </si>
  <si>
    <t>2034-2053</t>
  </si>
  <si>
    <t>2069-2088</t>
  </si>
  <si>
    <t>SDM_MOHC-HadGEM2-ES_rcp45_r1i1p1_SMHI-RCA4</t>
  </si>
  <si>
    <t>IPSL-CM5A-MR_rcp45_r1i1p1</t>
  </si>
  <si>
    <t>SDM_IPSL-IPSL-CM5A-MR_rcp45_r1i1p1_IPSL-INERIS-WRF331F</t>
  </si>
  <si>
    <t>2024-2043</t>
  </si>
  <si>
    <t>2068-2087</t>
  </si>
  <si>
    <t>SDM_IPSL-IPSL-CM5A-MR_rcp45_r1i1p1_SMHI-RCA4</t>
  </si>
  <si>
    <t>MPI-ESM-LR_rcp45_r1i1p1</t>
  </si>
  <si>
    <t>SDM_MPI-M-MPI-ESM-LR_rcp45_r1i1p1_CLMcom-CCLM4-8-17</t>
  </si>
  <si>
    <t>SDM_MPI-M-MPI-ESM-LR_rcp45_r1i1p1_SMHI-RCA4</t>
  </si>
  <si>
    <t>CNRM-CM5_rcp85_r1i1p1</t>
  </si>
  <si>
    <t>SDM_CNRM-CERFACS-CNRM-CM5_rcp85_r1i1p1_CLMcom-CCLM4-8-17</t>
  </si>
  <si>
    <t>2021-2040</t>
  </si>
  <si>
    <t>2036-2055</t>
  </si>
  <si>
    <t>2058-2077</t>
  </si>
  <si>
    <t>2078-2097</t>
  </si>
  <si>
    <t>SDM_CNRM-CERFACS-CNRM-CM5_rcp85_r1i1p1_CNRM-ALADIN53</t>
  </si>
  <si>
    <t>SDM_CNRM-CERFACS-CNRM-CM5_rcp85_r1i1p1_SMHI-RCA4</t>
  </si>
  <si>
    <t>EC-EARTH_rcp85_r12i1p1</t>
  </si>
  <si>
    <t>SDM_ICHEC-EC-EARTH_rcp85_r12i1p1_CLMcom-CCLM4-8-17</t>
  </si>
  <si>
    <t>2009-2028</t>
  </si>
  <si>
    <t>2025-2044</t>
  </si>
  <si>
    <t>2051-2070</t>
  </si>
  <si>
    <t>SDM_ICHEC-EC-EARTH_rcp85_r12i1p1_SMHI-RCA4</t>
  </si>
  <si>
    <t>EC-EARTH_rcp85_r1i1p1</t>
  </si>
  <si>
    <t>SDM_ICHEC-EC-EARTH_rcp85_r1i1p1_KNMI-RACMO22E</t>
  </si>
  <si>
    <t>2010-2029</t>
  </si>
  <si>
    <t>2026-2045</t>
  </si>
  <si>
    <t>2052-2071</t>
  </si>
  <si>
    <t>2073-2092</t>
  </si>
  <si>
    <t>HadGEM2-ES_rcp85_r1i1p1</t>
  </si>
  <si>
    <t>SDM_MOHC-HadGEM2-ES_rcp85_r1i1p1_CLMcom-CCLM4-8-17</t>
  </si>
  <si>
    <t>2045-2064</t>
  </si>
  <si>
    <t>2062-2081</t>
  </si>
  <si>
    <t>SDM_MOHC-HadGEM2-ES_rcp85_r1i1p1_SMHI-RCA4</t>
  </si>
  <si>
    <t>IPSL-CM5A-MR_rcp85_r1i1p1</t>
  </si>
  <si>
    <t>SDM_IPSL-IPSL-CM5A-MR_rcp85_r1i1p1_IPSL-INERIS-WRF331F</t>
  </si>
  <si>
    <t>2006-2025</t>
  </si>
  <si>
    <t>2041-2060</t>
  </si>
  <si>
    <t>2057-2076</t>
  </si>
  <si>
    <t>SDM_IPSL-IPSL-CM5A-MR_rcp85_r1i1p1_SMHI-RCA4</t>
  </si>
  <si>
    <t>MPI-ESM-LR_rcp85_r1i1p1</t>
  </si>
  <si>
    <t>SDM_MPI-M-MPI-ESM-LR_rcp85_r1i1p1_CLMcom-CCLM4-8-17</t>
  </si>
  <si>
    <t>2008-2027</t>
  </si>
  <si>
    <t>2072-2091</t>
  </si>
  <si>
    <t>SDM_MPI-M-MPI-ESM-LR_rcp85_r1i1p1_SMHI-RCA4</t>
  </si>
  <si>
    <t>no CMIP5 run available</t>
  </si>
  <si>
    <t>SDM_ICHEC-EC-EARTH_rcp26_r3i1p1_DMI-HIRHAM5</t>
  </si>
  <si>
    <t>SDM_ICHEC-EC-EARTH_rcp45_r3i1p1_DMI-HIRHAM5</t>
  </si>
  <si>
    <t>SDM_ICHEC-EC-EARTH_rcp85_r3i1p1_DMI-HIRHAM5</t>
  </si>
  <si>
    <t>Suggested models</t>
  </si>
  <si>
    <t>AUT GCM CCS 1991-2020</t>
  </si>
  <si>
    <t>AUT OEKS15 CCS 1991-2020</t>
  </si>
  <si>
    <t>AUT CCS GCM</t>
  </si>
  <si>
    <t>AUT CCS ÖKS15</t>
  </si>
  <si>
    <t>All GWLs</t>
  </si>
  <si>
    <t>rcp26</t>
  </si>
  <si>
    <t>rcp45</t>
  </si>
  <si>
    <t>rcp85</t>
  </si>
  <si>
    <t>Model</t>
  </si>
  <si>
    <t>CNRM-CERFACS-CNRM-CM5_rcp45_r1i1p1_CLMcom-CCLM4-8-17</t>
  </si>
  <si>
    <t>CNRM-CERFACS-CNRM-CM5_rcp45_r1i1p1_CNRM-ALADIN53</t>
  </si>
  <si>
    <t>CNRM-CERFACS-CNRM-CM5_rcp45_r1i1p1_SMHI-RCA4</t>
  </si>
  <si>
    <t>ICHEC-EC-EARTH_rcp45_r12i1p1_CLMcom-CCLM4-8-17</t>
  </si>
  <si>
    <t>ICHEC-EC-EARTH_rcp45_r12i1p1_SMHI-RCA4</t>
  </si>
  <si>
    <t>ICHEC-EC-EARTH_rcp45_r1i1p1_KNMI-RACMO22E</t>
  </si>
  <si>
    <t>MOHC-HadGEM2-ES_rcp45_r1i1p1_CLMcom-CCLM4-8-17</t>
  </si>
  <si>
    <t>MOHC-HadGEM2-ES_rcp45_r1i1p1_SMHI-RCA4</t>
  </si>
  <si>
    <t>IPSL-IPSL-CM5A-MR_rcp45_r1i1p1_IPSL-INERIS-WRF331F</t>
  </si>
  <si>
    <t>IPSL-IPSL-CM5A-MR_rcp45_r1i1p1_SMHI-RCA4</t>
  </si>
  <si>
    <t>MPI-M-MPI-ESM-LR_rcp45_r1i1p1_CLMcom-CCLM4-8-17</t>
  </si>
  <si>
    <t>MPI-M-MPI-ESM-LR_rcp45_r1i1p1_SMHI-RCA4</t>
  </si>
  <si>
    <t>CNRM-CERFACS-CNRM-CM5_rcp85_r1i1p1_CLMcom-CCLM4-8-17</t>
  </si>
  <si>
    <t>CNRM-CERFACS-CNRM-CM5_rcp85_r1i1p1_CNRM-ALADIN53</t>
  </si>
  <si>
    <t>CNRM-CERFACS-CNRM-CM5_rcp85_r1i1p1_SMHI-RCA4</t>
  </si>
  <si>
    <t>ICHEC-EC-EARTH_rcp85_r12i1p1_CLMcom-CCLM4-8-17</t>
  </si>
  <si>
    <t>ICHEC-EC-EARTH_rcp85_r12i1p1_SMHI-RCA4</t>
  </si>
  <si>
    <t>ICHEC-EC-EARTH_rcp85_r1i1p1_KNMI-RACMO22E</t>
  </si>
  <si>
    <t>MOHC-HadGEM2-ES_rcp85_r1i1p1_CLMcom-CCLM4-8-17</t>
  </si>
  <si>
    <t>MOHC-HadGEM2-ES_rcp85_r1i1p1_SMHI-RCA4</t>
  </si>
  <si>
    <t>IPSL-IPSL-CM5A-MR_rcp85_r1i1p1_IPSL-INERIS-WRF331F</t>
  </si>
  <si>
    <t>IPSL-IPSL-CM5A-MR_rcp85_r1i1p1_SMHI-RCA4</t>
  </si>
  <si>
    <t>MPI-M-MPI-ESM-LR_rcp85_r1i1p1_CLMcom-CCLM4-8-17</t>
  </si>
  <si>
    <t>MPI-M-MPI-ESM-LR_rcp85_r1i1p1_SMHI-RCA4</t>
  </si>
  <si>
    <t>ICHEC-EC-EARTH_rcp26_r3i1p1_DMI-HIRHAM5</t>
  </si>
  <si>
    <t>ICHEC-EC-EARTH_rcp45_r3i1p1_DMI-HIRHAM5</t>
  </si>
  <si>
    <t>ICHEC-EC-EARTH_rcp85_r3i1p1_DMI-HIRHAM5</t>
  </si>
  <si>
    <t>ICHEC-EC-EARTH_rcp26_r12i1p1_CLMcom-CCLM4-8-17</t>
  </si>
  <si>
    <t>ICHEC-EC-EARTH_rcp26_r12i1p1_KNMI-RACMO22E</t>
  </si>
  <si>
    <t>ICHEC-EC-EARTH_rcp26_r12i1p1_SMHI-RCA4</t>
  </si>
  <si>
    <t>MOHC-HadGEM2-ES_rcp26_r1i1p1_SMHI-RCA4</t>
  </si>
  <si>
    <t>MPI-M-MPI-ESM-LR_rcp26_r1i1p1_MPI-CSC-REMO2009</t>
  </si>
  <si>
    <t>MPI-M-MPI-ESM-LR_rcp26_r1i1p1_SMHI-RCA4</t>
  </si>
  <si>
    <t>MPI-M-MPI-ESM-LR_rcp26_r2i1p1_MPI-CSC-REMO2009</t>
  </si>
  <si>
    <t>Model reaching GWL (CMIP5)</t>
  </si>
  <si>
    <t>Model reaching GWL (CMIP6)</t>
  </si>
  <si>
    <t/>
  </si>
  <si>
    <t>CMIP5</t>
  </si>
  <si>
    <t>CMIP6</t>
  </si>
  <si>
    <t>1.5°C (CMIP5)</t>
  </si>
  <si>
    <t>2°C (CMIP5)</t>
  </si>
  <si>
    <t>3°C (CMIP5)</t>
  </si>
  <si>
    <t>4°C (CMIP5)</t>
  </si>
  <si>
    <t>1.5°C (CMIP6)</t>
  </si>
  <si>
    <t>2°C (CMIP6)</t>
  </si>
  <si>
    <t>3°C (CMIP6)</t>
  </si>
  <si>
    <t>4°C (CMIP6)</t>
  </si>
  <si>
    <t>CMIP 6</t>
  </si>
  <si>
    <t>rcp</t>
  </si>
  <si>
    <t>diff</t>
  </si>
  <si>
    <t>SDM_ICHEC-EC-EARTH_rcp26_r3i1p1_DMI-HIRHAM5_all</t>
  </si>
  <si>
    <t>Mean date of reaching GWL: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</si>
</sst>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3" borderId="0" xfId="0" applyFill="1"/>
    <xf numFmtId="164" fontId="0" fillId="0" borderId="0" xfId="0" applyNumberFormat="1"/>
    <xf numFmtId="164" fontId="0" fillId="3" borderId="0" xfId="0" applyNumberFormat="1" applyFill="1"/>
    <xf numFmtId="164" fontId="0" fillId="2" borderId="1" xfId="0" applyNumberFormat="1" applyFill="1" applyBorder="1"/>
    <xf numFmtId="0" fontId="1" fillId="0" borderId="0" xfId="0" applyFont="1"/>
    <xf numFmtId="0" fontId="0" fillId="2" borderId="5" xfId="0" applyFill="1" applyBorder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2" borderId="7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ADADA"/>
      <color rgb="FF939493"/>
      <color rgb="FFFF7F0E"/>
      <color rgb="FF8C8D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2.xml"/><Relationship Id="rId10" Type="http://schemas.openxmlformats.org/officeDocument/2006/relationships/styles" Target="styles.xml"/><Relationship Id="rId4" Type="http://schemas.openxmlformats.org/officeDocument/2006/relationships/chartsheet" Target="chartsheets/sheet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997099862754066"/>
          <c:y val="2.3207549081806694E-2"/>
          <c:w val="0.5408231402144339"/>
          <c:h val="0.86622583952104404"/>
        </c:manualLayout>
      </c:layout>
      <c:barChart>
        <c:barDir val="bar"/>
        <c:grouping val="stacked"/>
        <c:varyColors val="0"/>
        <c:ser>
          <c:idx val="0"/>
          <c:order val="0"/>
          <c:tx>
            <c:v>1.5°C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Tabelle1!$L$3:$L$36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Tabelle1!$M$3:$M$36</c:f>
              <c:numCache>
                <c:formatCode>General</c:formatCode>
                <c:ptCount val="34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2023</c:v>
                </c:pt>
                <c:pt idx="6">
                  <c:v>2023</c:v>
                </c:pt>
                <c:pt idx="7">
                  <c:v>2017</c:v>
                </c:pt>
                <c:pt idx="8">
                  <c:v>2038</c:v>
                </c:pt>
                <c:pt idx="9">
                  <c:v>2038</c:v>
                </c:pt>
                <c:pt idx="10">
                  <c:v>2038</c:v>
                </c:pt>
                <c:pt idx="11">
                  <c:v>2023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2017</c:v>
                </c:pt>
                <c:pt idx="16">
                  <c:v>2017</c:v>
                </c:pt>
                <c:pt idx="17">
                  <c:v>2029</c:v>
                </c:pt>
                <c:pt idx="18">
                  <c:v>2029</c:v>
                </c:pt>
                <c:pt idx="19">
                  <c:v>2023</c:v>
                </c:pt>
                <c:pt idx="20">
                  <c:v>2023</c:v>
                </c:pt>
                <c:pt idx="21">
                  <c:v>2031</c:v>
                </c:pt>
                <c:pt idx="22">
                  <c:v>2031</c:v>
                </c:pt>
                <c:pt idx="23">
                  <c:v>2031</c:v>
                </c:pt>
                <c:pt idx="24">
                  <c:v>2019</c:v>
                </c:pt>
                <c:pt idx="25">
                  <c:v>2019</c:v>
                </c:pt>
                <c:pt idx="26">
                  <c:v>2020</c:v>
                </c:pt>
                <c:pt idx="27">
                  <c:v>2020</c:v>
                </c:pt>
                <c:pt idx="28">
                  <c:v>2016</c:v>
                </c:pt>
                <c:pt idx="29">
                  <c:v>2016</c:v>
                </c:pt>
                <c:pt idx="30">
                  <c:v>2024</c:v>
                </c:pt>
                <c:pt idx="31">
                  <c:v>2024</c:v>
                </c:pt>
                <c:pt idx="32">
                  <c:v>2018</c:v>
                </c:pt>
                <c:pt idx="33">
                  <c:v>2018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C-FA49-8FBC-83BD2CA4D842}"/>
            </c:ext>
          </c:extLst>
        </c:ser>
        <c:ser>
          <c:idx val="1"/>
          <c:order val="1"/>
          <c:tx>
            <c:v>2.0°C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Tabelle1!$L$3:$L$36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Tabelle1!$N$3:$N$36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17</c:v>
                </c:pt>
                <c:pt idx="16">
                  <c:v>17</c:v>
                </c:pt>
                <c:pt idx="17">
                  <c:v>15</c:v>
                </c:pt>
                <c:pt idx="18">
                  <c:v>15</c:v>
                </c:pt>
                <c:pt idx="19">
                  <c:v>22</c:v>
                </c:pt>
                <c:pt idx="20">
                  <c:v>22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15</c:v>
                </c:pt>
                <c:pt idx="29">
                  <c:v>15</c:v>
                </c:pt>
                <c:pt idx="30">
                  <c:v>12</c:v>
                </c:pt>
                <c:pt idx="31">
                  <c:v>12</c:v>
                </c:pt>
                <c:pt idx="32">
                  <c:v>20</c:v>
                </c:pt>
                <c:pt idx="3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C-FA49-8FBC-83BD2CA4D842}"/>
            </c:ext>
          </c:extLst>
        </c:ser>
        <c:ser>
          <c:idx val="2"/>
          <c:order val="2"/>
          <c:tx>
            <c:v>3.0°C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Tabelle1!$L$3:$L$36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Tabelle1!$O$3:$O$36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44</c:v>
                </c:pt>
                <c:pt idx="16">
                  <c:v>44</c:v>
                </c:pt>
                <c:pt idx="17">
                  <c:v>35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20</c:v>
                </c:pt>
                <c:pt idx="29">
                  <c:v>20</c:v>
                </c:pt>
                <c:pt idx="30">
                  <c:v>19</c:v>
                </c:pt>
                <c:pt idx="31">
                  <c:v>19</c:v>
                </c:pt>
                <c:pt idx="32">
                  <c:v>24</c:v>
                </c:pt>
                <c:pt idx="3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AC-FA49-8FBC-83BD2CA4D842}"/>
            </c:ext>
          </c:extLst>
        </c:ser>
        <c:ser>
          <c:idx val="3"/>
          <c:order val="3"/>
          <c:tx>
            <c:v>4.0°C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Tabelle1!$L$3:$L$36</c:f>
              <c:strCache>
                <c:ptCount val="34"/>
                <c:pt idx="0">
                  <c:v>ICHEC-EC-EARTH_rcp26_r12i1p1_CLMcom-CCLM4-8-17</c:v>
                </c:pt>
                <c:pt idx="1">
                  <c:v>ICHEC-EC-EARTH_rcp26_r12i1p1_KNMI-RACMO22E</c:v>
                </c:pt>
                <c:pt idx="2">
                  <c:v>ICHEC-EC-EARTH_rcp26_r12i1p1_SMHI-RCA4</c:v>
                </c:pt>
                <c:pt idx="3">
                  <c:v>ICHEC-EC-EARTH_rcp26_r3i1p1_DMI-HIRHAM5</c:v>
                </c:pt>
                <c:pt idx="4">
                  <c:v>MOHC-HadGEM2-ES_rcp26_r1i1p1_SMHI-RCA4</c:v>
                </c:pt>
                <c:pt idx="5">
                  <c:v>MPI-M-MPI-ESM-LR_rcp26_r1i1p1_MPI-CSC-REMO2009</c:v>
                </c:pt>
                <c:pt idx="6">
                  <c:v>MPI-M-MPI-ESM-LR_rcp26_r1i1p1_SMHI-RCA4</c:v>
                </c:pt>
                <c:pt idx="7">
                  <c:v>MPI-M-MPI-ESM-LR_rcp26_r2i1p1_MPI-CSC-REMO2009</c:v>
                </c:pt>
                <c:pt idx="8">
                  <c:v>CNRM-CERFACS-CNRM-CM5_rcp45_r1i1p1_CLMcom-CCLM4-8-17</c:v>
                </c:pt>
                <c:pt idx="9">
                  <c:v>CNRM-CERFACS-CNRM-CM5_rcp45_r1i1p1_CNRM-ALADIN53</c:v>
                </c:pt>
                <c:pt idx="10">
                  <c:v>CNRM-CERFACS-CNRM-CM5_rcp45_r1i1p1_SMHI-RCA4</c:v>
                </c:pt>
                <c:pt idx="11">
                  <c:v>ICHEC-EC-EARTH_rcp45_r12i1p1_CLMcom-CCLM4-8-17</c:v>
                </c:pt>
                <c:pt idx="12">
                  <c:v>ICHEC-EC-EARTH_rcp45_r12i1p1_SMHI-RCA4</c:v>
                </c:pt>
                <c:pt idx="13">
                  <c:v>ICHEC-EC-EARTH_rcp45_r1i1p1_KNMI-RACMO22E</c:v>
                </c:pt>
                <c:pt idx="14">
                  <c:v>ICHEC-EC-EARTH_rcp45_r3i1p1_DMI-HIRHAM5</c:v>
                </c:pt>
                <c:pt idx="15">
                  <c:v>IPSL-IPSL-CM5A-MR_rcp45_r1i1p1_IPSL-INERIS-WRF331F</c:v>
                </c:pt>
                <c:pt idx="16">
                  <c:v>IPSL-IPSL-CM5A-MR_rcp45_r1i1p1_SMHI-RCA4</c:v>
                </c:pt>
                <c:pt idx="17">
                  <c:v>MOHC-HadGEM2-ES_rcp45_r1i1p1_CLMcom-CCLM4-8-17</c:v>
                </c:pt>
                <c:pt idx="18">
                  <c:v>MOHC-HadGEM2-ES_rcp45_r1i1p1_SMHI-RCA4</c:v>
                </c:pt>
                <c:pt idx="19">
                  <c:v>MPI-M-MPI-ESM-LR_rcp45_r1i1p1_CLMcom-CCLM4-8-17</c:v>
                </c:pt>
                <c:pt idx="20">
                  <c:v>MPI-M-MPI-ESM-LR_rcp45_r1i1p1_SMHI-RCA4</c:v>
                </c:pt>
                <c:pt idx="21">
                  <c:v>CNRM-CERFACS-CNRM-CM5_rcp85_r1i1p1_CLMcom-CCLM4-8-17</c:v>
                </c:pt>
                <c:pt idx="22">
                  <c:v>CNRM-CERFACS-CNRM-CM5_rcp85_r1i1p1_CNRM-ALADIN53</c:v>
                </c:pt>
                <c:pt idx="23">
                  <c:v>CNRM-CERFACS-CNRM-CM5_rcp85_r1i1p1_SMHI-RCA4</c:v>
                </c:pt>
                <c:pt idx="24">
                  <c:v>ICHEC-EC-EARTH_rcp85_r12i1p1_CLMcom-CCLM4-8-17</c:v>
                </c:pt>
                <c:pt idx="25">
                  <c:v>ICHEC-EC-EARTH_rcp85_r12i1p1_SMHI-RCA4</c:v>
                </c:pt>
                <c:pt idx="26">
                  <c:v>ICHEC-EC-EARTH_rcp85_r1i1p1_KNMI-RACMO22E</c:v>
                </c:pt>
                <c:pt idx="27">
                  <c:v>ICHEC-EC-EARTH_rcp85_r3i1p1_DMI-HIRHAM5</c:v>
                </c:pt>
                <c:pt idx="28">
                  <c:v>IPSL-IPSL-CM5A-MR_rcp85_r1i1p1_IPSL-INERIS-WRF331F</c:v>
                </c:pt>
                <c:pt idx="29">
                  <c:v>IPSL-IPSL-CM5A-MR_rcp85_r1i1p1_SMHI-RCA4</c:v>
                </c:pt>
                <c:pt idx="30">
                  <c:v>MOHC-HadGEM2-ES_rcp85_r1i1p1_CLMcom-CCLM4-8-17</c:v>
                </c:pt>
                <c:pt idx="31">
                  <c:v>MOHC-HadGEM2-ES_rcp85_r1i1p1_SMHI-RCA4</c:v>
                </c:pt>
                <c:pt idx="32">
                  <c:v>MPI-M-MPI-ESM-LR_rcp85_r1i1p1_CLMcom-CCLM4-8-17</c:v>
                </c:pt>
                <c:pt idx="33">
                  <c:v>MPI-M-MPI-ESM-LR_rcp85_r1i1p1_SMHI-RCA4</c:v>
                </c:pt>
              </c:strCache>
            </c:strRef>
          </c:cat>
          <c:val>
            <c:numRef>
              <c:f>Tabelle1!$P$3:$P$36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21</c:v>
                </c:pt>
                <c:pt idx="27">
                  <c:v>21</c:v>
                </c:pt>
                <c:pt idx="28">
                  <c:v>16</c:v>
                </c:pt>
                <c:pt idx="29">
                  <c:v>16</c:v>
                </c:pt>
                <c:pt idx="30">
                  <c:v>17</c:v>
                </c:pt>
                <c:pt idx="31">
                  <c:v>17</c:v>
                </c:pt>
                <c:pt idx="32">
                  <c:v>20</c:v>
                </c:pt>
                <c:pt idx="3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AC-FA49-8FBC-83BD2CA4D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7456656"/>
        <c:axId val="407458384"/>
      </c:barChart>
      <c:catAx>
        <c:axId val="4074566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07458384"/>
        <c:crosses val="autoZero"/>
        <c:auto val="0"/>
        <c:lblAlgn val="ctr"/>
        <c:lblOffset val="100"/>
        <c:noMultiLvlLbl val="0"/>
      </c:catAx>
      <c:valAx>
        <c:axId val="407458384"/>
        <c:scaling>
          <c:orientation val="minMax"/>
          <c:max val="21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07456656"/>
        <c:crosses val="max"/>
        <c:crossBetween val="between"/>
        <c:minorUnit val="5"/>
      </c:valAx>
      <c:spPr>
        <a:noFill/>
        <a:ln>
          <a:solidFill>
            <a:srgbClr val="DADADA"/>
          </a:solidFill>
        </a:ln>
        <a:effectLst/>
      </c:spPr>
    </c:plotArea>
    <c:legend>
      <c:legendPos val="r"/>
      <c:overlay val="0"/>
      <c:spPr>
        <a:noFill/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Date</a:t>
            </a:r>
            <a:r>
              <a:rPr lang="de-DE" b="1" baseline="0"/>
              <a:t> of reaching GWLs: CMIP5 vs. CMIP6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Tabelle1!$Z$2</c:f>
              <c:strCache>
                <c:ptCount val="1"/>
                <c:pt idx="0">
                  <c:v>1.5°C (CMIP5)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Tabelle1!$X$3:$X$103</c:f>
              <c:strCache>
                <c:ptCount val="100"/>
                <c:pt idx="0">
                  <c:v>ICHEC-EC-EARTH_rcp26_r12i1p1_CLMcom-CCLM4-8-17</c:v>
                </c:pt>
                <c:pt idx="3">
                  <c:v>ICHEC-EC-EARTH_rcp26_r12i1p1_KNMI-RACMO22E</c:v>
                </c:pt>
                <c:pt idx="6">
                  <c:v>ICHEC-EC-EARTH_rcp26_r12i1p1_SMHI-RCA4</c:v>
                </c:pt>
                <c:pt idx="9">
                  <c:v>ICHEC-EC-EARTH_rcp26_r3i1p1_DMI-HIRHAM5</c:v>
                </c:pt>
                <c:pt idx="12">
                  <c:v>MOHC-HadGEM2-ES_rcp26_r1i1p1_SMHI-RCA4</c:v>
                </c:pt>
                <c:pt idx="15">
                  <c:v>MPI-M-MPI-ESM-LR_rcp26_r1i1p1_MPI-CSC-REMO2009</c:v>
                </c:pt>
                <c:pt idx="18">
                  <c:v>MPI-M-MPI-ESM-LR_rcp26_r1i1p1_SMHI-RCA4</c:v>
                </c:pt>
                <c:pt idx="21">
                  <c:v>MPI-M-MPI-ESM-LR_rcp26_r2i1p1_MPI-CSC-REMO2009</c:v>
                </c:pt>
                <c:pt idx="24">
                  <c:v>CNRM-CERFACS-CNRM-CM5_rcp45_r1i1p1_CLMcom-CCLM4-8-17</c:v>
                </c:pt>
                <c:pt idx="27">
                  <c:v>CNRM-CERFACS-CNRM-CM5_rcp45_r1i1p1_CNRM-ALADIN53</c:v>
                </c:pt>
                <c:pt idx="30">
                  <c:v>CNRM-CERFACS-CNRM-CM5_rcp45_r1i1p1_SMHI-RCA4</c:v>
                </c:pt>
                <c:pt idx="33">
                  <c:v>ICHEC-EC-EARTH_rcp45_r12i1p1_CLMcom-CCLM4-8-17</c:v>
                </c:pt>
                <c:pt idx="36">
                  <c:v>ICHEC-EC-EARTH_rcp45_r12i1p1_SMHI-RCA4</c:v>
                </c:pt>
                <c:pt idx="39">
                  <c:v>ICHEC-EC-EARTH_rcp45_r1i1p1_KNMI-RACMO22E</c:v>
                </c:pt>
                <c:pt idx="42">
                  <c:v>ICHEC-EC-EARTH_rcp45_r3i1p1_DMI-HIRHAM5</c:v>
                </c:pt>
                <c:pt idx="45">
                  <c:v>IPSL-IPSL-CM5A-MR_rcp45_r1i1p1_IPSL-INERIS-WRF331F</c:v>
                </c:pt>
                <c:pt idx="48">
                  <c:v>IPSL-IPSL-CM5A-MR_rcp45_r1i1p1_SMHI-RCA4</c:v>
                </c:pt>
                <c:pt idx="51">
                  <c:v>MOHC-HadGEM2-ES_rcp45_r1i1p1_CLMcom-CCLM4-8-17</c:v>
                </c:pt>
                <c:pt idx="54">
                  <c:v>MOHC-HadGEM2-ES_rcp45_r1i1p1_SMHI-RCA4</c:v>
                </c:pt>
                <c:pt idx="57">
                  <c:v>MPI-M-MPI-ESM-LR_rcp45_r1i1p1_CLMcom-CCLM4-8-17</c:v>
                </c:pt>
                <c:pt idx="60">
                  <c:v>MPI-M-MPI-ESM-LR_rcp45_r1i1p1_SMHI-RCA4</c:v>
                </c:pt>
                <c:pt idx="63">
                  <c:v>CNRM-CERFACS-CNRM-CM5_rcp85_r1i1p1_CLMcom-CCLM4-8-17</c:v>
                </c:pt>
                <c:pt idx="66">
                  <c:v>CNRM-CERFACS-CNRM-CM5_rcp85_r1i1p1_CNRM-ALADIN53</c:v>
                </c:pt>
                <c:pt idx="69">
                  <c:v>CNRM-CERFACS-CNRM-CM5_rcp85_r1i1p1_SMHI-RCA4</c:v>
                </c:pt>
                <c:pt idx="72">
                  <c:v>ICHEC-EC-EARTH_rcp85_r12i1p1_CLMcom-CCLM4-8-17</c:v>
                </c:pt>
                <c:pt idx="75">
                  <c:v>ICHEC-EC-EARTH_rcp85_r12i1p1_SMHI-RCA4</c:v>
                </c:pt>
                <c:pt idx="78">
                  <c:v>ICHEC-EC-EARTH_rcp85_r1i1p1_KNMI-RACMO22E</c:v>
                </c:pt>
                <c:pt idx="81">
                  <c:v>ICHEC-EC-EARTH_rcp85_r3i1p1_DMI-HIRHAM5</c:v>
                </c:pt>
                <c:pt idx="84">
                  <c:v>IPSL-IPSL-CM5A-MR_rcp85_r1i1p1_IPSL-INERIS-WRF331F</c:v>
                </c:pt>
                <c:pt idx="87">
                  <c:v>IPSL-IPSL-CM5A-MR_rcp85_r1i1p1_SMHI-RCA4</c:v>
                </c:pt>
                <c:pt idx="90">
                  <c:v>MOHC-HadGEM2-ES_rcp85_r1i1p1_CLMcom-CCLM4-8-17</c:v>
                </c:pt>
                <c:pt idx="93">
                  <c:v>MOHC-HadGEM2-ES_rcp85_r1i1p1_SMHI-RCA4</c:v>
                </c:pt>
                <c:pt idx="96">
                  <c:v>MPI-M-MPI-ESM-LR_rcp85_r1i1p1_CLMcom-CCLM4-8-17</c:v>
                </c:pt>
                <c:pt idx="99">
                  <c:v>MPI-M-MPI-ESM-LR_rcp85_r1i1p1_SMHI-RCA4</c:v>
                </c:pt>
              </c:strCache>
            </c:strRef>
          </c:cat>
          <c:val>
            <c:numRef>
              <c:f>Tabelle1!$Z$3:$Z$103</c:f>
              <c:numCache>
                <c:formatCode>General</c:formatCode>
                <c:ptCount val="101"/>
                <c:pt idx="0">
                  <c:v>2024</c:v>
                </c:pt>
                <c:pt idx="3">
                  <c:v>2024</c:v>
                </c:pt>
                <c:pt idx="6">
                  <c:v>2024</c:v>
                </c:pt>
                <c:pt idx="9">
                  <c:v>2024</c:v>
                </c:pt>
                <c:pt idx="12">
                  <c:v>2024</c:v>
                </c:pt>
                <c:pt idx="15">
                  <c:v>2023</c:v>
                </c:pt>
                <c:pt idx="18">
                  <c:v>2023</c:v>
                </c:pt>
                <c:pt idx="21">
                  <c:v>2017</c:v>
                </c:pt>
                <c:pt idx="24">
                  <c:v>2038</c:v>
                </c:pt>
                <c:pt idx="27">
                  <c:v>2038</c:v>
                </c:pt>
                <c:pt idx="30">
                  <c:v>2038</c:v>
                </c:pt>
                <c:pt idx="33">
                  <c:v>2023</c:v>
                </c:pt>
                <c:pt idx="36">
                  <c:v>2023</c:v>
                </c:pt>
                <c:pt idx="39">
                  <c:v>2023</c:v>
                </c:pt>
                <c:pt idx="42">
                  <c:v>2023</c:v>
                </c:pt>
                <c:pt idx="45">
                  <c:v>2017</c:v>
                </c:pt>
                <c:pt idx="48">
                  <c:v>2017</c:v>
                </c:pt>
                <c:pt idx="51">
                  <c:v>2029</c:v>
                </c:pt>
                <c:pt idx="54">
                  <c:v>2029</c:v>
                </c:pt>
                <c:pt idx="57">
                  <c:v>2023</c:v>
                </c:pt>
                <c:pt idx="60">
                  <c:v>2023</c:v>
                </c:pt>
                <c:pt idx="63">
                  <c:v>2031</c:v>
                </c:pt>
                <c:pt idx="66">
                  <c:v>2031</c:v>
                </c:pt>
                <c:pt idx="69">
                  <c:v>2031</c:v>
                </c:pt>
                <c:pt idx="72">
                  <c:v>2019</c:v>
                </c:pt>
                <c:pt idx="75">
                  <c:v>2019</c:v>
                </c:pt>
                <c:pt idx="78">
                  <c:v>2020</c:v>
                </c:pt>
                <c:pt idx="81">
                  <c:v>2020</c:v>
                </c:pt>
                <c:pt idx="84">
                  <c:v>2016</c:v>
                </c:pt>
                <c:pt idx="87">
                  <c:v>2016</c:v>
                </c:pt>
                <c:pt idx="90">
                  <c:v>2024</c:v>
                </c:pt>
                <c:pt idx="93">
                  <c:v>2024</c:v>
                </c:pt>
                <c:pt idx="96">
                  <c:v>2018</c:v>
                </c:pt>
                <c:pt idx="99">
                  <c:v>2018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F-6144-B0B1-640C17C2CFD3}"/>
            </c:ext>
          </c:extLst>
        </c:ser>
        <c:ser>
          <c:idx val="1"/>
          <c:order val="1"/>
          <c:tx>
            <c:strRef>
              <c:f>Tabelle1!$AA$2</c:f>
              <c:strCache>
                <c:ptCount val="1"/>
                <c:pt idx="0">
                  <c:v>2°C (CMIP5)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Tabelle1!$X$3:$X$103</c:f>
              <c:strCache>
                <c:ptCount val="100"/>
                <c:pt idx="0">
                  <c:v>ICHEC-EC-EARTH_rcp26_r12i1p1_CLMcom-CCLM4-8-17</c:v>
                </c:pt>
                <c:pt idx="3">
                  <c:v>ICHEC-EC-EARTH_rcp26_r12i1p1_KNMI-RACMO22E</c:v>
                </c:pt>
                <c:pt idx="6">
                  <c:v>ICHEC-EC-EARTH_rcp26_r12i1p1_SMHI-RCA4</c:v>
                </c:pt>
                <c:pt idx="9">
                  <c:v>ICHEC-EC-EARTH_rcp26_r3i1p1_DMI-HIRHAM5</c:v>
                </c:pt>
                <c:pt idx="12">
                  <c:v>MOHC-HadGEM2-ES_rcp26_r1i1p1_SMHI-RCA4</c:v>
                </c:pt>
                <c:pt idx="15">
                  <c:v>MPI-M-MPI-ESM-LR_rcp26_r1i1p1_MPI-CSC-REMO2009</c:v>
                </c:pt>
                <c:pt idx="18">
                  <c:v>MPI-M-MPI-ESM-LR_rcp26_r1i1p1_SMHI-RCA4</c:v>
                </c:pt>
                <c:pt idx="21">
                  <c:v>MPI-M-MPI-ESM-LR_rcp26_r2i1p1_MPI-CSC-REMO2009</c:v>
                </c:pt>
                <c:pt idx="24">
                  <c:v>CNRM-CERFACS-CNRM-CM5_rcp45_r1i1p1_CLMcom-CCLM4-8-17</c:v>
                </c:pt>
                <c:pt idx="27">
                  <c:v>CNRM-CERFACS-CNRM-CM5_rcp45_r1i1p1_CNRM-ALADIN53</c:v>
                </c:pt>
                <c:pt idx="30">
                  <c:v>CNRM-CERFACS-CNRM-CM5_rcp45_r1i1p1_SMHI-RCA4</c:v>
                </c:pt>
                <c:pt idx="33">
                  <c:v>ICHEC-EC-EARTH_rcp45_r12i1p1_CLMcom-CCLM4-8-17</c:v>
                </c:pt>
                <c:pt idx="36">
                  <c:v>ICHEC-EC-EARTH_rcp45_r12i1p1_SMHI-RCA4</c:v>
                </c:pt>
                <c:pt idx="39">
                  <c:v>ICHEC-EC-EARTH_rcp45_r1i1p1_KNMI-RACMO22E</c:v>
                </c:pt>
                <c:pt idx="42">
                  <c:v>ICHEC-EC-EARTH_rcp45_r3i1p1_DMI-HIRHAM5</c:v>
                </c:pt>
                <c:pt idx="45">
                  <c:v>IPSL-IPSL-CM5A-MR_rcp45_r1i1p1_IPSL-INERIS-WRF331F</c:v>
                </c:pt>
                <c:pt idx="48">
                  <c:v>IPSL-IPSL-CM5A-MR_rcp45_r1i1p1_SMHI-RCA4</c:v>
                </c:pt>
                <c:pt idx="51">
                  <c:v>MOHC-HadGEM2-ES_rcp45_r1i1p1_CLMcom-CCLM4-8-17</c:v>
                </c:pt>
                <c:pt idx="54">
                  <c:v>MOHC-HadGEM2-ES_rcp45_r1i1p1_SMHI-RCA4</c:v>
                </c:pt>
                <c:pt idx="57">
                  <c:v>MPI-M-MPI-ESM-LR_rcp45_r1i1p1_CLMcom-CCLM4-8-17</c:v>
                </c:pt>
                <c:pt idx="60">
                  <c:v>MPI-M-MPI-ESM-LR_rcp45_r1i1p1_SMHI-RCA4</c:v>
                </c:pt>
                <c:pt idx="63">
                  <c:v>CNRM-CERFACS-CNRM-CM5_rcp85_r1i1p1_CLMcom-CCLM4-8-17</c:v>
                </c:pt>
                <c:pt idx="66">
                  <c:v>CNRM-CERFACS-CNRM-CM5_rcp85_r1i1p1_CNRM-ALADIN53</c:v>
                </c:pt>
                <c:pt idx="69">
                  <c:v>CNRM-CERFACS-CNRM-CM5_rcp85_r1i1p1_SMHI-RCA4</c:v>
                </c:pt>
                <c:pt idx="72">
                  <c:v>ICHEC-EC-EARTH_rcp85_r12i1p1_CLMcom-CCLM4-8-17</c:v>
                </c:pt>
                <c:pt idx="75">
                  <c:v>ICHEC-EC-EARTH_rcp85_r12i1p1_SMHI-RCA4</c:v>
                </c:pt>
                <c:pt idx="78">
                  <c:v>ICHEC-EC-EARTH_rcp85_r1i1p1_KNMI-RACMO22E</c:v>
                </c:pt>
                <c:pt idx="81">
                  <c:v>ICHEC-EC-EARTH_rcp85_r3i1p1_DMI-HIRHAM5</c:v>
                </c:pt>
                <c:pt idx="84">
                  <c:v>IPSL-IPSL-CM5A-MR_rcp85_r1i1p1_IPSL-INERIS-WRF331F</c:v>
                </c:pt>
                <c:pt idx="87">
                  <c:v>IPSL-IPSL-CM5A-MR_rcp85_r1i1p1_SMHI-RCA4</c:v>
                </c:pt>
                <c:pt idx="90">
                  <c:v>MOHC-HadGEM2-ES_rcp85_r1i1p1_CLMcom-CCLM4-8-17</c:v>
                </c:pt>
                <c:pt idx="93">
                  <c:v>MOHC-HadGEM2-ES_rcp85_r1i1p1_SMHI-RCA4</c:v>
                </c:pt>
                <c:pt idx="96">
                  <c:v>MPI-M-MPI-ESM-LR_rcp85_r1i1p1_CLMcom-CCLM4-8-17</c:v>
                </c:pt>
                <c:pt idx="99">
                  <c:v>MPI-M-MPI-ESM-LR_rcp85_r1i1p1_SMHI-RCA4</c:v>
                </c:pt>
              </c:strCache>
            </c:strRef>
          </c:cat>
          <c:val>
            <c:numRef>
              <c:f>Tabelle1!$AA$3:$AA$103</c:f>
              <c:numCache>
                <c:formatCode>General</c:formatCode>
                <c:ptCount val="101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21</c:v>
                </c:pt>
                <c:pt idx="27">
                  <c:v>21</c:v>
                </c:pt>
                <c:pt idx="30">
                  <c:v>21</c:v>
                </c:pt>
                <c:pt idx="33">
                  <c:v>22</c:v>
                </c:pt>
                <c:pt idx="36">
                  <c:v>22</c:v>
                </c:pt>
                <c:pt idx="39">
                  <c:v>22</c:v>
                </c:pt>
                <c:pt idx="42">
                  <c:v>22</c:v>
                </c:pt>
                <c:pt idx="45">
                  <c:v>17</c:v>
                </c:pt>
                <c:pt idx="48">
                  <c:v>17</c:v>
                </c:pt>
                <c:pt idx="51">
                  <c:v>15</c:v>
                </c:pt>
                <c:pt idx="54">
                  <c:v>15</c:v>
                </c:pt>
                <c:pt idx="57">
                  <c:v>22</c:v>
                </c:pt>
                <c:pt idx="60">
                  <c:v>22</c:v>
                </c:pt>
                <c:pt idx="63">
                  <c:v>15</c:v>
                </c:pt>
                <c:pt idx="66">
                  <c:v>15</c:v>
                </c:pt>
                <c:pt idx="69">
                  <c:v>15</c:v>
                </c:pt>
                <c:pt idx="72">
                  <c:v>16</c:v>
                </c:pt>
                <c:pt idx="75">
                  <c:v>16</c:v>
                </c:pt>
                <c:pt idx="78">
                  <c:v>16</c:v>
                </c:pt>
                <c:pt idx="81">
                  <c:v>16</c:v>
                </c:pt>
                <c:pt idx="84">
                  <c:v>15</c:v>
                </c:pt>
                <c:pt idx="87">
                  <c:v>15</c:v>
                </c:pt>
                <c:pt idx="90">
                  <c:v>12</c:v>
                </c:pt>
                <c:pt idx="93">
                  <c:v>12</c:v>
                </c:pt>
                <c:pt idx="96">
                  <c:v>20</c:v>
                </c:pt>
                <c:pt idx="9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2F-6144-B0B1-640C17C2CFD3}"/>
            </c:ext>
          </c:extLst>
        </c:ser>
        <c:ser>
          <c:idx val="2"/>
          <c:order val="2"/>
          <c:tx>
            <c:strRef>
              <c:f>Tabelle1!$AB$2</c:f>
              <c:strCache>
                <c:ptCount val="1"/>
                <c:pt idx="0">
                  <c:v>3°C (CMIP5)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Tabelle1!$X$3:$X$103</c:f>
              <c:strCache>
                <c:ptCount val="100"/>
                <c:pt idx="0">
                  <c:v>ICHEC-EC-EARTH_rcp26_r12i1p1_CLMcom-CCLM4-8-17</c:v>
                </c:pt>
                <c:pt idx="3">
                  <c:v>ICHEC-EC-EARTH_rcp26_r12i1p1_KNMI-RACMO22E</c:v>
                </c:pt>
                <c:pt idx="6">
                  <c:v>ICHEC-EC-EARTH_rcp26_r12i1p1_SMHI-RCA4</c:v>
                </c:pt>
                <c:pt idx="9">
                  <c:v>ICHEC-EC-EARTH_rcp26_r3i1p1_DMI-HIRHAM5</c:v>
                </c:pt>
                <c:pt idx="12">
                  <c:v>MOHC-HadGEM2-ES_rcp26_r1i1p1_SMHI-RCA4</c:v>
                </c:pt>
                <c:pt idx="15">
                  <c:v>MPI-M-MPI-ESM-LR_rcp26_r1i1p1_MPI-CSC-REMO2009</c:v>
                </c:pt>
                <c:pt idx="18">
                  <c:v>MPI-M-MPI-ESM-LR_rcp26_r1i1p1_SMHI-RCA4</c:v>
                </c:pt>
                <c:pt idx="21">
                  <c:v>MPI-M-MPI-ESM-LR_rcp26_r2i1p1_MPI-CSC-REMO2009</c:v>
                </c:pt>
                <c:pt idx="24">
                  <c:v>CNRM-CERFACS-CNRM-CM5_rcp45_r1i1p1_CLMcom-CCLM4-8-17</c:v>
                </c:pt>
                <c:pt idx="27">
                  <c:v>CNRM-CERFACS-CNRM-CM5_rcp45_r1i1p1_CNRM-ALADIN53</c:v>
                </c:pt>
                <c:pt idx="30">
                  <c:v>CNRM-CERFACS-CNRM-CM5_rcp45_r1i1p1_SMHI-RCA4</c:v>
                </c:pt>
                <c:pt idx="33">
                  <c:v>ICHEC-EC-EARTH_rcp45_r12i1p1_CLMcom-CCLM4-8-17</c:v>
                </c:pt>
                <c:pt idx="36">
                  <c:v>ICHEC-EC-EARTH_rcp45_r12i1p1_SMHI-RCA4</c:v>
                </c:pt>
                <c:pt idx="39">
                  <c:v>ICHEC-EC-EARTH_rcp45_r1i1p1_KNMI-RACMO22E</c:v>
                </c:pt>
                <c:pt idx="42">
                  <c:v>ICHEC-EC-EARTH_rcp45_r3i1p1_DMI-HIRHAM5</c:v>
                </c:pt>
                <c:pt idx="45">
                  <c:v>IPSL-IPSL-CM5A-MR_rcp45_r1i1p1_IPSL-INERIS-WRF331F</c:v>
                </c:pt>
                <c:pt idx="48">
                  <c:v>IPSL-IPSL-CM5A-MR_rcp45_r1i1p1_SMHI-RCA4</c:v>
                </c:pt>
                <c:pt idx="51">
                  <c:v>MOHC-HadGEM2-ES_rcp45_r1i1p1_CLMcom-CCLM4-8-17</c:v>
                </c:pt>
                <c:pt idx="54">
                  <c:v>MOHC-HadGEM2-ES_rcp45_r1i1p1_SMHI-RCA4</c:v>
                </c:pt>
                <c:pt idx="57">
                  <c:v>MPI-M-MPI-ESM-LR_rcp45_r1i1p1_CLMcom-CCLM4-8-17</c:v>
                </c:pt>
                <c:pt idx="60">
                  <c:v>MPI-M-MPI-ESM-LR_rcp45_r1i1p1_SMHI-RCA4</c:v>
                </c:pt>
                <c:pt idx="63">
                  <c:v>CNRM-CERFACS-CNRM-CM5_rcp85_r1i1p1_CLMcom-CCLM4-8-17</c:v>
                </c:pt>
                <c:pt idx="66">
                  <c:v>CNRM-CERFACS-CNRM-CM5_rcp85_r1i1p1_CNRM-ALADIN53</c:v>
                </c:pt>
                <c:pt idx="69">
                  <c:v>CNRM-CERFACS-CNRM-CM5_rcp85_r1i1p1_SMHI-RCA4</c:v>
                </c:pt>
                <c:pt idx="72">
                  <c:v>ICHEC-EC-EARTH_rcp85_r12i1p1_CLMcom-CCLM4-8-17</c:v>
                </c:pt>
                <c:pt idx="75">
                  <c:v>ICHEC-EC-EARTH_rcp85_r12i1p1_SMHI-RCA4</c:v>
                </c:pt>
                <c:pt idx="78">
                  <c:v>ICHEC-EC-EARTH_rcp85_r1i1p1_KNMI-RACMO22E</c:v>
                </c:pt>
                <c:pt idx="81">
                  <c:v>ICHEC-EC-EARTH_rcp85_r3i1p1_DMI-HIRHAM5</c:v>
                </c:pt>
                <c:pt idx="84">
                  <c:v>IPSL-IPSL-CM5A-MR_rcp85_r1i1p1_IPSL-INERIS-WRF331F</c:v>
                </c:pt>
                <c:pt idx="87">
                  <c:v>IPSL-IPSL-CM5A-MR_rcp85_r1i1p1_SMHI-RCA4</c:v>
                </c:pt>
                <c:pt idx="90">
                  <c:v>MOHC-HadGEM2-ES_rcp85_r1i1p1_CLMcom-CCLM4-8-17</c:v>
                </c:pt>
                <c:pt idx="93">
                  <c:v>MOHC-HadGEM2-ES_rcp85_r1i1p1_SMHI-RCA4</c:v>
                </c:pt>
                <c:pt idx="96">
                  <c:v>MPI-M-MPI-ESM-LR_rcp85_r1i1p1_CLMcom-CCLM4-8-17</c:v>
                </c:pt>
                <c:pt idx="99">
                  <c:v>MPI-M-MPI-ESM-LR_rcp85_r1i1p1_SMHI-RCA4</c:v>
                </c:pt>
              </c:strCache>
            </c:strRef>
          </c:cat>
          <c:val>
            <c:numRef>
              <c:f>Tabelle1!$AB$3:$AB$103</c:f>
              <c:numCache>
                <c:formatCode>General</c:formatCode>
                <c:ptCount val="101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  <c:pt idx="45">
                  <c:v>44</c:v>
                </c:pt>
                <c:pt idx="48">
                  <c:v>44</c:v>
                </c:pt>
                <c:pt idx="51">
                  <c:v>35</c:v>
                </c:pt>
                <c:pt idx="54">
                  <c:v>35</c:v>
                </c:pt>
                <c:pt idx="57">
                  <c:v>0</c:v>
                </c:pt>
                <c:pt idx="60">
                  <c:v>0</c:v>
                </c:pt>
                <c:pt idx="63">
                  <c:v>22</c:v>
                </c:pt>
                <c:pt idx="66">
                  <c:v>22</c:v>
                </c:pt>
                <c:pt idx="69">
                  <c:v>22</c:v>
                </c:pt>
                <c:pt idx="72">
                  <c:v>26</c:v>
                </c:pt>
                <c:pt idx="75">
                  <c:v>26</c:v>
                </c:pt>
                <c:pt idx="78">
                  <c:v>26</c:v>
                </c:pt>
                <c:pt idx="81">
                  <c:v>26</c:v>
                </c:pt>
                <c:pt idx="84">
                  <c:v>20</c:v>
                </c:pt>
                <c:pt idx="87">
                  <c:v>20</c:v>
                </c:pt>
                <c:pt idx="90">
                  <c:v>19</c:v>
                </c:pt>
                <c:pt idx="93">
                  <c:v>19</c:v>
                </c:pt>
                <c:pt idx="96">
                  <c:v>24</c:v>
                </c:pt>
                <c:pt idx="9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2F-6144-B0B1-640C17C2CFD3}"/>
            </c:ext>
          </c:extLst>
        </c:ser>
        <c:ser>
          <c:idx val="3"/>
          <c:order val="3"/>
          <c:tx>
            <c:strRef>
              <c:f>Tabelle1!$AC$2</c:f>
              <c:strCache>
                <c:ptCount val="1"/>
                <c:pt idx="0">
                  <c:v>4°C (CMIP5)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Tabelle1!$X$3:$X$103</c:f>
              <c:strCache>
                <c:ptCount val="100"/>
                <c:pt idx="0">
                  <c:v>ICHEC-EC-EARTH_rcp26_r12i1p1_CLMcom-CCLM4-8-17</c:v>
                </c:pt>
                <c:pt idx="3">
                  <c:v>ICHEC-EC-EARTH_rcp26_r12i1p1_KNMI-RACMO22E</c:v>
                </c:pt>
                <c:pt idx="6">
                  <c:v>ICHEC-EC-EARTH_rcp26_r12i1p1_SMHI-RCA4</c:v>
                </c:pt>
                <c:pt idx="9">
                  <c:v>ICHEC-EC-EARTH_rcp26_r3i1p1_DMI-HIRHAM5</c:v>
                </c:pt>
                <c:pt idx="12">
                  <c:v>MOHC-HadGEM2-ES_rcp26_r1i1p1_SMHI-RCA4</c:v>
                </c:pt>
                <c:pt idx="15">
                  <c:v>MPI-M-MPI-ESM-LR_rcp26_r1i1p1_MPI-CSC-REMO2009</c:v>
                </c:pt>
                <c:pt idx="18">
                  <c:v>MPI-M-MPI-ESM-LR_rcp26_r1i1p1_SMHI-RCA4</c:v>
                </c:pt>
                <c:pt idx="21">
                  <c:v>MPI-M-MPI-ESM-LR_rcp26_r2i1p1_MPI-CSC-REMO2009</c:v>
                </c:pt>
                <c:pt idx="24">
                  <c:v>CNRM-CERFACS-CNRM-CM5_rcp45_r1i1p1_CLMcom-CCLM4-8-17</c:v>
                </c:pt>
                <c:pt idx="27">
                  <c:v>CNRM-CERFACS-CNRM-CM5_rcp45_r1i1p1_CNRM-ALADIN53</c:v>
                </c:pt>
                <c:pt idx="30">
                  <c:v>CNRM-CERFACS-CNRM-CM5_rcp45_r1i1p1_SMHI-RCA4</c:v>
                </c:pt>
                <c:pt idx="33">
                  <c:v>ICHEC-EC-EARTH_rcp45_r12i1p1_CLMcom-CCLM4-8-17</c:v>
                </c:pt>
                <c:pt idx="36">
                  <c:v>ICHEC-EC-EARTH_rcp45_r12i1p1_SMHI-RCA4</c:v>
                </c:pt>
                <c:pt idx="39">
                  <c:v>ICHEC-EC-EARTH_rcp45_r1i1p1_KNMI-RACMO22E</c:v>
                </c:pt>
                <c:pt idx="42">
                  <c:v>ICHEC-EC-EARTH_rcp45_r3i1p1_DMI-HIRHAM5</c:v>
                </c:pt>
                <c:pt idx="45">
                  <c:v>IPSL-IPSL-CM5A-MR_rcp45_r1i1p1_IPSL-INERIS-WRF331F</c:v>
                </c:pt>
                <c:pt idx="48">
                  <c:v>IPSL-IPSL-CM5A-MR_rcp45_r1i1p1_SMHI-RCA4</c:v>
                </c:pt>
                <c:pt idx="51">
                  <c:v>MOHC-HadGEM2-ES_rcp45_r1i1p1_CLMcom-CCLM4-8-17</c:v>
                </c:pt>
                <c:pt idx="54">
                  <c:v>MOHC-HadGEM2-ES_rcp45_r1i1p1_SMHI-RCA4</c:v>
                </c:pt>
                <c:pt idx="57">
                  <c:v>MPI-M-MPI-ESM-LR_rcp45_r1i1p1_CLMcom-CCLM4-8-17</c:v>
                </c:pt>
                <c:pt idx="60">
                  <c:v>MPI-M-MPI-ESM-LR_rcp45_r1i1p1_SMHI-RCA4</c:v>
                </c:pt>
                <c:pt idx="63">
                  <c:v>CNRM-CERFACS-CNRM-CM5_rcp85_r1i1p1_CLMcom-CCLM4-8-17</c:v>
                </c:pt>
                <c:pt idx="66">
                  <c:v>CNRM-CERFACS-CNRM-CM5_rcp85_r1i1p1_CNRM-ALADIN53</c:v>
                </c:pt>
                <c:pt idx="69">
                  <c:v>CNRM-CERFACS-CNRM-CM5_rcp85_r1i1p1_SMHI-RCA4</c:v>
                </c:pt>
                <c:pt idx="72">
                  <c:v>ICHEC-EC-EARTH_rcp85_r12i1p1_CLMcom-CCLM4-8-17</c:v>
                </c:pt>
                <c:pt idx="75">
                  <c:v>ICHEC-EC-EARTH_rcp85_r12i1p1_SMHI-RCA4</c:v>
                </c:pt>
                <c:pt idx="78">
                  <c:v>ICHEC-EC-EARTH_rcp85_r1i1p1_KNMI-RACMO22E</c:v>
                </c:pt>
                <c:pt idx="81">
                  <c:v>ICHEC-EC-EARTH_rcp85_r3i1p1_DMI-HIRHAM5</c:v>
                </c:pt>
                <c:pt idx="84">
                  <c:v>IPSL-IPSL-CM5A-MR_rcp85_r1i1p1_IPSL-INERIS-WRF331F</c:v>
                </c:pt>
                <c:pt idx="87">
                  <c:v>IPSL-IPSL-CM5A-MR_rcp85_r1i1p1_SMHI-RCA4</c:v>
                </c:pt>
                <c:pt idx="90">
                  <c:v>MOHC-HadGEM2-ES_rcp85_r1i1p1_CLMcom-CCLM4-8-17</c:v>
                </c:pt>
                <c:pt idx="93">
                  <c:v>MOHC-HadGEM2-ES_rcp85_r1i1p1_SMHI-RCA4</c:v>
                </c:pt>
                <c:pt idx="96">
                  <c:v>MPI-M-MPI-ESM-LR_rcp85_r1i1p1_CLMcom-CCLM4-8-17</c:v>
                </c:pt>
                <c:pt idx="99">
                  <c:v>MPI-M-MPI-ESM-LR_rcp85_r1i1p1_SMHI-RCA4</c:v>
                </c:pt>
              </c:strCache>
            </c:strRef>
          </c:cat>
          <c:val>
            <c:numRef>
              <c:f>Tabelle1!$AC$3:$AC$103</c:f>
              <c:numCache>
                <c:formatCode>General</c:formatCode>
                <c:ptCount val="101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  <c:pt idx="36">
                  <c:v>0</c:v>
                </c:pt>
                <c:pt idx="39">
                  <c:v>0</c:v>
                </c:pt>
                <c:pt idx="42">
                  <c:v>0</c:v>
                </c:pt>
                <c:pt idx="45">
                  <c:v>0</c:v>
                </c:pt>
                <c:pt idx="48">
                  <c:v>0</c:v>
                </c:pt>
                <c:pt idx="51">
                  <c:v>0</c:v>
                </c:pt>
                <c:pt idx="54">
                  <c:v>0</c:v>
                </c:pt>
                <c:pt idx="57">
                  <c:v>0</c:v>
                </c:pt>
                <c:pt idx="60">
                  <c:v>0</c:v>
                </c:pt>
                <c:pt idx="63">
                  <c:v>20</c:v>
                </c:pt>
                <c:pt idx="66">
                  <c:v>20</c:v>
                </c:pt>
                <c:pt idx="69">
                  <c:v>20</c:v>
                </c:pt>
                <c:pt idx="72">
                  <c:v>0</c:v>
                </c:pt>
                <c:pt idx="75">
                  <c:v>0</c:v>
                </c:pt>
                <c:pt idx="78">
                  <c:v>21</c:v>
                </c:pt>
                <c:pt idx="81">
                  <c:v>21</c:v>
                </c:pt>
                <c:pt idx="84">
                  <c:v>16</c:v>
                </c:pt>
                <c:pt idx="87">
                  <c:v>16</c:v>
                </c:pt>
                <c:pt idx="90">
                  <c:v>17</c:v>
                </c:pt>
                <c:pt idx="93">
                  <c:v>17</c:v>
                </c:pt>
                <c:pt idx="96">
                  <c:v>20</c:v>
                </c:pt>
                <c:pt idx="9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2F-6144-B0B1-640C17C2CFD3}"/>
            </c:ext>
          </c:extLst>
        </c:ser>
        <c:ser>
          <c:idx val="4"/>
          <c:order val="4"/>
          <c:tx>
            <c:strRef>
              <c:f>Tabelle1!$AD$2</c:f>
              <c:strCache>
                <c:ptCount val="1"/>
                <c:pt idx="0">
                  <c:v>1.5°C (CMIP6)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Tabelle1!$X$3:$X$103</c:f>
              <c:strCache>
                <c:ptCount val="100"/>
                <c:pt idx="0">
                  <c:v>ICHEC-EC-EARTH_rcp26_r12i1p1_CLMcom-CCLM4-8-17</c:v>
                </c:pt>
                <c:pt idx="3">
                  <c:v>ICHEC-EC-EARTH_rcp26_r12i1p1_KNMI-RACMO22E</c:v>
                </c:pt>
                <c:pt idx="6">
                  <c:v>ICHEC-EC-EARTH_rcp26_r12i1p1_SMHI-RCA4</c:v>
                </c:pt>
                <c:pt idx="9">
                  <c:v>ICHEC-EC-EARTH_rcp26_r3i1p1_DMI-HIRHAM5</c:v>
                </c:pt>
                <c:pt idx="12">
                  <c:v>MOHC-HadGEM2-ES_rcp26_r1i1p1_SMHI-RCA4</c:v>
                </c:pt>
                <c:pt idx="15">
                  <c:v>MPI-M-MPI-ESM-LR_rcp26_r1i1p1_MPI-CSC-REMO2009</c:v>
                </c:pt>
                <c:pt idx="18">
                  <c:v>MPI-M-MPI-ESM-LR_rcp26_r1i1p1_SMHI-RCA4</c:v>
                </c:pt>
                <c:pt idx="21">
                  <c:v>MPI-M-MPI-ESM-LR_rcp26_r2i1p1_MPI-CSC-REMO2009</c:v>
                </c:pt>
                <c:pt idx="24">
                  <c:v>CNRM-CERFACS-CNRM-CM5_rcp45_r1i1p1_CLMcom-CCLM4-8-17</c:v>
                </c:pt>
                <c:pt idx="27">
                  <c:v>CNRM-CERFACS-CNRM-CM5_rcp45_r1i1p1_CNRM-ALADIN53</c:v>
                </c:pt>
                <c:pt idx="30">
                  <c:v>CNRM-CERFACS-CNRM-CM5_rcp45_r1i1p1_SMHI-RCA4</c:v>
                </c:pt>
                <c:pt idx="33">
                  <c:v>ICHEC-EC-EARTH_rcp45_r12i1p1_CLMcom-CCLM4-8-17</c:v>
                </c:pt>
                <c:pt idx="36">
                  <c:v>ICHEC-EC-EARTH_rcp45_r12i1p1_SMHI-RCA4</c:v>
                </c:pt>
                <c:pt idx="39">
                  <c:v>ICHEC-EC-EARTH_rcp45_r1i1p1_KNMI-RACMO22E</c:v>
                </c:pt>
                <c:pt idx="42">
                  <c:v>ICHEC-EC-EARTH_rcp45_r3i1p1_DMI-HIRHAM5</c:v>
                </c:pt>
                <c:pt idx="45">
                  <c:v>IPSL-IPSL-CM5A-MR_rcp45_r1i1p1_IPSL-INERIS-WRF331F</c:v>
                </c:pt>
                <c:pt idx="48">
                  <c:v>IPSL-IPSL-CM5A-MR_rcp45_r1i1p1_SMHI-RCA4</c:v>
                </c:pt>
                <c:pt idx="51">
                  <c:v>MOHC-HadGEM2-ES_rcp45_r1i1p1_CLMcom-CCLM4-8-17</c:v>
                </c:pt>
                <c:pt idx="54">
                  <c:v>MOHC-HadGEM2-ES_rcp45_r1i1p1_SMHI-RCA4</c:v>
                </c:pt>
                <c:pt idx="57">
                  <c:v>MPI-M-MPI-ESM-LR_rcp45_r1i1p1_CLMcom-CCLM4-8-17</c:v>
                </c:pt>
                <c:pt idx="60">
                  <c:v>MPI-M-MPI-ESM-LR_rcp45_r1i1p1_SMHI-RCA4</c:v>
                </c:pt>
                <c:pt idx="63">
                  <c:v>CNRM-CERFACS-CNRM-CM5_rcp85_r1i1p1_CLMcom-CCLM4-8-17</c:v>
                </c:pt>
                <c:pt idx="66">
                  <c:v>CNRM-CERFACS-CNRM-CM5_rcp85_r1i1p1_CNRM-ALADIN53</c:v>
                </c:pt>
                <c:pt idx="69">
                  <c:v>CNRM-CERFACS-CNRM-CM5_rcp85_r1i1p1_SMHI-RCA4</c:v>
                </c:pt>
                <c:pt idx="72">
                  <c:v>ICHEC-EC-EARTH_rcp85_r12i1p1_CLMcom-CCLM4-8-17</c:v>
                </c:pt>
                <c:pt idx="75">
                  <c:v>ICHEC-EC-EARTH_rcp85_r12i1p1_SMHI-RCA4</c:v>
                </c:pt>
                <c:pt idx="78">
                  <c:v>ICHEC-EC-EARTH_rcp85_r1i1p1_KNMI-RACMO22E</c:v>
                </c:pt>
                <c:pt idx="81">
                  <c:v>ICHEC-EC-EARTH_rcp85_r3i1p1_DMI-HIRHAM5</c:v>
                </c:pt>
                <c:pt idx="84">
                  <c:v>IPSL-IPSL-CM5A-MR_rcp85_r1i1p1_IPSL-INERIS-WRF331F</c:v>
                </c:pt>
                <c:pt idx="87">
                  <c:v>IPSL-IPSL-CM5A-MR_rcp85_r1i1p1_SMHI-RCA4</c:v>
                </c:pt>
                <c:pt idx="90">
                  <c:v>MOHC-HadGEM2-ES_rcp85_r1i1p1_CLMcom-CCLM4-8-17</c:v>
                </c:pt>
                <c:pt idx="93">
                  <c:v>MOHC-HadGEM2-ES_rcp85_r1i1p1_SMHI-RCA4</c:v>
                </c:pt>
                <c:pt idx="96">
                  <c:v>MPI-M-MPI-ESM-LR_rcp85_r1i1p1_CLMcom-CCLM4-8-17</c:v>
                </c:pt>
                <c:pt idx="99">
                  <c:v>MPI-M-MPI-ESM-LR_rcp85_r1i1p1_SMHI-RCA4</c:v>
                </c:pt>
              </c:strCache>
            </c:strRef>
          </c:cat>
          <c:val>
            <c:numRef>
              <c:f>Tabelle1!$AD$3:$AD$103</c:f>
              <c:numCache>
                <c:formatCode>General</c:formatCode>
                <c:ptCount val="101"/>
                <c:pt idx="4">
                  <c:v>2050</c:v>
                </c:pt>
                <c:pt idx="7">
                  <c:v>2039</c:v>
                </c:pt>
                <c:pt idx="13">
                  <c:v>2021</c:v>
                </c:pt>
                <c:pt idx="16">
                  <c:v>2039</c:v>
                </c:pt>
                <c:pt idx="19">
                  <c:v>2026</c:v>
                </c:pt>
                <c:pt idx="25">
                  <c:v>2055</c:v>
                </c:pt>
                <c:pt idx="28">
                  <c:v>2049</c:v>
                </c:pt>
                <c:pt idx="31">
                  <c:v>2046</c:v>
                </c:pt>
                <c:pt idx="34">
                  <c:v>2050</c:v>
                </c:pt>
                <c:pt idx="37">
                  <c:v>2032</c:v>
                </c:pt>
                <c:pt idx="40">
                  <c:v>2031</c:v>
                </c:pt>
                <c:pt idx="43">
                  <c:v>2038</c:v>
                </c:pt>
                <c:pt idx="46">
                  <c:v>2038</c:v>
                </c:pt>
                <c:pt idx="49">
                  <c:v>2038</c:v>
                </c:pt>
                <c:pt idx="52">
                  <c:v>2025</c:v>
                </c:pt>
                <c:pt idx="55">
                  <c:v>2027</c:v>
                </c:pt>
                <c:pt idx="58">
                  <c:v>2039</c:v>
                </c:pt>
                <c:pt idx="61">
                  <c:v>2034</c:v>
                </c:pt>
                <c:pt idx="64">
                  <c:v>2042</c:v>
                </c:pt>
                <c:pt idx="67">
                  <c:v>2038</c:v>
                </c:pt>
                <c:pt idx="70">
                  <c:v>2032</c:v>
                </c:pt>
                <c:pt idx="73">
                  <c:v>2041</c:v>
                </c:pt>
                <c:pt idx="76">
                  <c:v>2028</c:v>
                </c:pt>
                <c:pt idx="79">
                  <c:v>2030</c:v>
                </c:pt>
                <c:pt idx="82">
                  <c:v>2029</c:v>
                </c:pt>
                <c:pt idx="85">
                  <c:v>2051</c:v>
                </c:pt>
                <c:pt idx="88">
                  <c:v>2035</c:v>
                </c:pt>
                <c:pt idx="91">
                  <c:v>2023</c:v>
                </c:pt>
                <c:pt idx="94">
                  <c:v>2022</c:v>
                </c:pt>
                <c:pt idx="97">
                  <c:v>2045</c:v>
                </c:pt>
                <c:pt idx="100">
                  <c:v>2038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2F-6144-B0B1-640C17C2CFD3}"/>
            </c:ext>
          </c:extLst>
        </c:ser>
        <c:ser>
          <c:idx val="5"/>
          <c:order val="5"/>
          <c:tx>
            <c:strRef>
              <c:f>Tabelle1!$AE$2</c:f>
              <c:strCache>
                <c:ptCount val="1"/>
                <c:pt idx="0">
                  <c:v>2°C (CMIP6)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Tabelle1!$X$3:$X$103</c:f>
              <c:strCache>
                <c:ptCount val="100"/>
                <c:pt idx="0">
                  <c:v>ICHEC-EC-EARTH_rcp26_r12i1p1_CLMcom-CCLM4-8-17</c:v>
                </c:pt>
                <c:pt idx="3">
                  <c:v>ICHEC-EC-EARTH_rcp26_r12i1p1_KNMI-RACMO22E</c:v>
                </c:pt>
                <c:pt idx="6">
                  <c:v>ICHEC-EC-EARTH_rcp26_r12i1p1_SMHI-RCA4</c:v>
                </c:pt>
                <c:pt idx="9">
                  <c:v>ICHEC-EC-EARTH_rcp26_r3i1p1_DMI-HIRHAM5</c:v>
                </c:pt>
                <c:pt idx="12">
                  <c:v>MOHC-HadGEM2-ES_rcp26_r1i1p1_SMHI-RCA4</c:v>
                </c:pt>
                <c:pt idx="15">
                  <c:v>MPI-M-MPI-ESM-LR_rcp26_r1i1p1_MPI-CSC-REMO2009</c:v>
                </c:pt>
                <c:pt idx="18">
                  <c:v>MPI-M-MPI-ESM-LR_rcp26_r1i1p1_SMHI-RCA4</c:v>
                </c:pt>
                <c:pt idx="21">
                  <c:v>MPI-M-MPI-ESM-LR_rcp26_r2i1p1_MPI-CSC-REMO2009</c:v>
                </c:pt>
                <c:pt idx="24">
                  <c:v>CNRM-CERFACS-CNRM-CM5_rcp45_r1i1p1_CLMcom-CCLM4-8-17</c:v>
                </c:pt>
                <c:pt idx="27">
                  <c:v>CNRM-CERFACS-CNRM-CM5_rcp45_r1i1p1_CNRM-ALADIN53</c:v>
                </c:pt>
                <c:pt idx="30">
                  <c:v>CNRM-CERFACS-CNRM-CM5_rcp45_r1i1p1_SMHI-RCA4</c:v>
                </c:pt>
                <c:pt idx="33">
                  <c:v>ICHEC-EC-EARTH_rcp45_r12i1p1_CLMcom-CCLM4-8-17</c:v>
                </c:pt>
                <c:pt idx="36">
                  <c:v>ICHEC-EC-EARTH_rcp45_r12i1p1_SMHI-RCA4</c:v>
                </c:pt>
                <c:pt idx="39">
                  <c:v>ICHEC-EC-EARTH_rcp45_r1i1p1_KNMI-RACMO22E</c:v>
                </c:pt>
                <c:pt idx="42">
                  <c:v>ICHEC-EC-EARTH_rcp45_r3i1p1_DMI-HIRHAM5</c:v>
                </c:pt>
                <c:pt idx="45">
                  <c:v>IPSL-IPSL-CM5A-MR_rcp45_r1i1p1_IPSL-INERIS-WRF331F</c:v>
                </c:pt>
                <c:pt idx="48">
                  <c:v>IPSL-IPSL-CM5A-MR_rcp45_r1i1p1_SMHI-RCA4</c:v>
                </c:pt>
                <c:pt idx="51">
                  <c:v>MOHC-HadGEM2-ES_rcp45_r1i1p1_CLMcom-CCLM4-8-17</c:v>
                </c:pt>
                <c:pt idx="54">
                  <c:v>MOHC-HadGEM2-ES_rcp45_r1i1p1_SMHI-RCA4</c:v>
                </c:pt>
                <c:pt idx="57">
                  <c:v>MPI-M-MPI-ESM-LR_rcp45_r1i1p1_CLMcom-CCLM4-8-17</c:v>
                </c:pt>
                <c:pt idx="60">
                  <c:v>MPI-M-MPI-ESM-LR_rcp45_r1i1p1_SMHI-RCA4</c:v>
                </c:pt>
                <c:pt idx="63">
                  <c:v>CNRM-CERFACS-CNRM-CM5_rcp85_r1i1p1_CLMcom-CCLM4-8-17</c:v>
                </c:pt>
                <c:pt idx="66">
                  <c:v>CNRM-CERFACS-CNRM-CM5_rcp85_r1i1p1_CNRM-ALADIN53</c:v>
                </c:pt>
                <c:pt idx="69">
                  <c:v>CNRM-CERFACS-CNRM-CM5_rcp85_r1i1p1_SMHI-RCA4</c:v>
                </c:pt>
                <c:pt idx="72">
                  <c:v>ICHEC-EC-EARTH_rcp85_r12i1p1_CLMcom-CCLM4-8-17</c:v>
                </c:pt>
                <c:pt idx="75">
                  <c:v>ICHEC-EC-EARTH_rcp85_r12i1p1_SMHI-RCA4</c:v>
                </c:pt>
                <c:pt idx="78">
                  <c:v>ICHEC-EC-EARTH_rcp85_r1i1p1_KNMI-RACMO22E</c:v>
                </c:pt>
                <c:pt idx="81">
                  <c:v>ICHEC-EC-EARTH_rcp85_r3i1p1_DMI-HIRHAM5</c:v>
                </c:pt>
                <c:pt idx="84">
                  <c:v>IPSL-IPSL-CM5A-MR_rcp85_r1i1p1_IPSL-INERIS-WRF331F</c:v>
                </c:pt>
                <c:pt idx="87">
                  <c:v>IPSL-IPSL-CM5A-MR_rcp85_r1i1p1_SMHI-RCA4</c:v>
                </c:pt>
                <c:pt idx="90">
                  <c:v>MOHC-HadGEM2-ES_rcp85_r1i1p1_CLMcom-CCLM4-8-17</c:v>
                </c:pt>
                <c:pt idx="93">
                  <c:v>MOHC-HadGEM2-ES_rcp85_r1i1p1_SMHI-RCA4</c:v>
                </c:pt>
                <c:pt idx="96">
                  <c:v>MPI-M-MPI-ESM-LR_rcp85_r1i1p1_CLMcom-CCLM4-8-17</c:v>
                </c:pt>
                <c:pt idx="99">
                  <c:v>MPI-M-MPI-ESM-LR_rcp85_r1i1p1_SMHI-RCA4</c:v>
                </c:pt>
              </c:strCache>
            </c:strRef>
          </c:cat>
          <c:val>
            <c:numRef>
              <c:f>Tabelle1!$AE$3:$AE$103</c:f>
              <c:numCache>
                <c:formatCode>General</c:formatCode>
                <c:ptCount val="101"/>
                <c:pt idx="13">
                  <c:v>33</c:v>
                </c:pt>
                <c:pt idx="25">
                  <c:v>21</c:v>
                </c:pt>
                <c:pt idx="28">
                  <c:v>9</c:v>
                </c:pt>
                <c:pt idx="31">
                  <c:v>11</c:v>
                </c:pt>
                <c:pt idx="34">
                  <c:v>11</c:v>
                </c:pt>
                <c:pt idx="37">
                  <c:v>20</c:v>
                </c:pt>
                <c:pt idx="40">
                  <c:v>34</c:v>
                </c:pt>
                <c:pt idx="43">
                  <c:v>35</c:v>
                </c:pt>
                <c:pt idx="46">
                  <c:v>32</c:v>
                </c:pt>
                <c:pt idx="49">
                  <c:v>18</c:v>
                </c:pt>
                <c:pt idx="52">
                  <c:v>16</c:v>
                </c:pt>
                <c:pt idx="55">
                  <c:v>16</c:v>
                </c:pt>
                <c:pt idx="58">
                  <c:v>51</c:v>
                </c:pt>
                <c:pt idx="61">
                  <c:v>36</c:v>
                </c:pt>
                <c:pt idx="64">
                  <c:v>13</c:v>
                </c:pt>
                <c:pt idx="67">
                  <c:v>11</c:v>
                </c:pt>
                <c:pt idx="70">
                  <c:v>14</c:v>
                </c:pt>
                <c:pt idx="73">
                  <c:v>13</c:v>
                </c:pt>
                <c:pt idx="76">
                  <c:v>12</c:v>
                </c:pt>
                <c:pt idx="79">
                  <c:v>28</c:v>
                </c:pt>
                <c:pt idx="82">
                  <c:v>25</c:v>
                </c:pt>
                <c:pt idx="85">
                  <c:v>7</c:v>
                </c:pt>
                <c:pt idx="88">
                  <c:v>8</c:v>
                </c:pt>
                <c:pt idx="91">
                  <c:v>11</c:v>
                </c:pt>
                <c:pt idx="94">
                  <c:v>12</c:v>
                </c:pt>
                <c:pt idx="97">
                  <c:v>8</c:v>
                </c:pt>
                <c:pt idx="10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2F-6144-B0B1-640C17C2CFD3}"/>
            </c:ext>
          </c:extLst>
        </c:ser>
        <c:ser>
          <c:idx val="6"/>
          <c:order val="6"/>
          <c:tx>
            <c:strRef>
              <c:f>Tabelle1!$AF$2</c:f>
              <c:strCache>
                <c:ptCount val="1"/>
                <c:pt idx="0">
                  <c:v>3°C (CMIP6)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Tabelle1!$X$3:$X$103</c:f>
              <c:strCache>
                <c:ptCount val="100"/>
                <c:pt idx="0">
                  <c:v>ICHEC-EC-EARTH_rcp26_r12i1p1_CLMcom-CCLM4-8-17</c:v>
                </c:pt>
                <c:pt idx="3">
                  <c:v>ICHEC-EC-EARTH_rcp26_r12i1p1_KNMI-RACMO22E</c:v>
                </c:pt>
                <c:pt idx="6">
                  <c:v>ICHEC-EC-EARTH_rcp26_r12i1p1_SMHI-RCA4</c:v>
                </c:pt>
                <c:pt idx="9">
                  <c:v>ICHEC-EC-EARTH_rcp26_r3i1p1_DMI-HIRHAM5</c:v>
                </c:pt>
                <c:pt idx="12">
                  <c:v>MOHC-HadGEM2-ES_rcp26_r1i1p1_SMHI-RCA4</c:v>
                </c:pt>
                <c:pt idx="15">
                  <c:v>MPI-M-MPI-ESM-LR_rcp26_r1i1p1_MPI-CSC-REMO2009</c:v>
                </c:pt>
                <c:pt idx="18">
                  <c:v>MPI-M-MPI-ESM-LR_rcp26_r1i1p1_SMHI-RCA4</c:v>
                </c:pt>
                <c:pt idx="21">
                  <c:v>MPI-M-MPI-ESM-LR_rcp26_r2i1p1_MPI-CSC-REMO2009</c:v>
                </c:pt>
                <c:pt idx="24">
                  <c:v>CNRM-CERFACS-CNRM-CM5_rcp45_r1i1p1_CLMcom-CCLM4-8-17</c:v>
                </c:pt>
                <c:pt idx="27">
                  <c:v>CNRM-CERFACS-CNRM-CM5_rcp45_r1i1p1_CNRM-ALADIN53</c:v>
                </c:pt>
                <c:pt idx="30">
                  <c:v>CNRM-CERFACS-CNRM-CM5_rcp45_r1i1p1_SMHI-RCA4</c:v>
                </c:pt>
                <c:pt idx="33">
                  <c:v>ICHEC-EC-EARTH_rcp45_r12i1p1_CLMcom-CCLM4-8-17</c:v>
                </c:pt>
                <c:pt idx="36">
                  <c:v>ICHEC-EC-EARTH_rcp45_r12i1p1_SMHI-RCA4</c:v>
                </c:pt>
                <c:pt idx="39">
                  <c:v>ICHEC-EC-EARTH_rcp45_r1i1p1_KNMI-RACMO22E</c:v>
                </c:pt>
                <c:pt idx="42">
                  <c:v>ICHEC-EC-EARTH_rcp45_r3i1p1_DMI-HIRHAM5</c:v>
                </c:pt>
                <c:pt idx="45">
                  <c:v>IPSL-IPSL-CM5A-MR_rcp45_r1i1p1_IPSL-INERIS-WRF331F</c:v>
                </c:pt>
                <c:pt idx="48">
                  <c:v>IPSL-IPSL-CM5A-MR_rcp45_r1i1p1_SMHI-RCA4</c:v>
                </c:pt>
                <c:pt idx="51">
                  <c:v>MOHC-HadGEM2-ES_rcp45_r1i1p1_CLMcom-CCLM4-8-17</c:v>
                </c:pt>
                <c:pt idx="54">
                  <c:v>MOHC-HadGEM2-ES_rcp45_r1i1p1_SMHI-RCA4</c:v>
                </c:pt>
                <c:pt idx="57">
                  <c:v>MPI-M-MPI-ESM-LR_rcp45_r1i1p1_CLMcom-CCLM4-8-17</c:v>
                </c:pt>
                <c:pt idx="60">
                  <c:v>MPI-M-MPI-ESM-LR_rcp45_r1i1p1_SMHI-RCA4</c:v>
                </c:pt>
                <c:pt idx="63">
                  <c:v>CNRM-CERFACS-CNRM-CM5_rcp85_r1i1p1_CLMcom-CCLM4-8-17</c:v>
                </c:pt>
                <c:pt idx="66">
                  <c:v>CNRM-CERFACS-CNRM-CM5_rcp85_r1i1p1_CNRM-ALADIN53</c:v>
                </c:pt>
                <c:pt idx="69">
                  <c:v>CNRM-CERFACS-CNRM-CM5_rcp85_r1i1p1_SMHI-RCA4</c:v>
                </c:pt>
                <c:pt idx="72">
                  <c:v>ICHEC-EC-EARTH_rcp85_r12i1p1_CLMcom-CCLM4-8-17</c:v>
                </c:pt>
                <c:pt idx="75">
                  <c:v>ICHEC-EC-EARTH_rcp85_r12i1p1_SMHI-RCA4</c:v>
                </c:pt>
                <c:pt idx="78">
                  <c:v>ICHEC-EC-EARTH_rcp85_r1i1p1_KNMI-RACMO22E</c:v>
                </c:pt>
                <c:pt idx="81">
                  <c:v>ICHEC-EC-EARTH_rcp85_r3i1p1_DMI-HIRHAM5</c:v>
                </c:pt>
                <c:pt idx="84">
                  <c:v>IPSL-IPSL-CM5A-MR_rcp85_r1i1p1_IPSL-INERIS-WRF331F</c:v>
                </c:pt>
                <c:pt idx="87">
                  <c:v>IPSL-IPSL-CM5A-MR_rcp85_r1i1p1_SMHI-RCA4</c:v>
                </c:pt>
                <c:pt idx="90">
                  <c:v>MOHC-HadGEM2-ES_rcp85_r1i1p1_CLMcom-CCLM4-8-17</c:v>
                </c:pt>
                <c:pt idx="93">
                  <c:v>MOHC-HadGEM2-ES_rcp85_r1i1p1_SMHI-RCA4</c:v>
                </c:pt>
                <c:pt idx="96">
                  <c:v>MPI-M-MPI-ESM-LR_rcp85_r1i1p1_CLMcom-CCLM4-8-17</c:v>
                </c:pt>
                <c:pt idx="99">
                  <c:v>MPI-M-MPI-ESM-LR_rcp85_r1i1p1_SMHI-RCA4</c:v>
                </c:pt>
              </c:strCache>
            </c:strRef>
          </c:cat>
          <c:val>
            <c:numRef>
              <c:f>Tabelle1!$AF$3:$AF$103</c:f>
              <c:numCache>
                <c:formatCode>General</c:formatCode>
                <c:ptCount val="101"/>
                <c:pt idx="52">
                  <c:v>28</c:v>
                </c:pt>
                <c:pt idx="55">
                  <c:v>27</c:v>
                </c:pt>
                <c:pt idx="64">
                  <c:v>21</c:v>
                </c:pt>
                <c:pt idx="67">
                  <c:v>17</c:v>
                </c:pt>
                <c:pt idx="70">
                  <c:v>16</c:v>
                </c:pt>
                <c:pt idx="73">
                  <c:v>23</c:v>
                </c:pt>
                <c:pt idx="76">
                  <c:v>19</c:v>
                </c:pt>
                <c:pt idx="79">
                  <c:v>15</c:v>
                </c:pt>
                <c:pt idx="82">
                  <c:v>23</c:v>
                </c:pt>
                <c:pt idx="85">
                  <c:v>18</c:v>
                </c:pt>
                <c:pt idx="88">
                  <c:v>15</c:v>
                </c:pt>
                <c:pt idx="91">
                  <c:v>22</c:v>
                </c:pt>
                <c:pt idx="94">
                  <c:v>22</c:v>
                </c:pt>
                <c:pt idx="97">
                  <c:v>24</c:v>
                </c:pt>
                <c:pt idx="10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2F-6144-B0B1-640C17C2CFD3}"/>
            </c:ext>
          </c:extLst>
        </c:ser>
        <c:ser>
          <c:idx val="7"/>
          <c:order val="7"/>
          <c:tx>
            <c:strRef>
              <c:f>Tabelle1!$AG$2</c:f>
              <c:strCache>
                <c:ptCount val="1"/>
                <c:pt idx="0">
                  <c:v>4°C (CMIP6)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Tabelle1!$X$3:$X$103</c:f>
              <c:strCache>
                <c:ptCount val="100"/>
                <c:pt idx="0">
                  <c:v>ICHEC-EC-EARTH_rcp26_r12i1p1_CLMcom-CCLM4-8-17</c:v>
                </c:pt>
                <c:pt idx="3">
                  <c:v>ICHEC-EC-EARTH_rcp26_r12i1p1_KNMI-RACMO22E</c:v>
                </c:pt>
                <c:pt idx="6">
                  <c:v>ICHEC-EC-EARTH_rcp26_r12i1p1_SMHI-RCA4</c:v>
                </c:pt>
                <c:pt idx="9">
                  <c:v>ICHEC-EC-EARTH_rcp26_r3i1p1_DMI-HIRHAM5</c:v>
                </c:pt>
                <c:pt idx="12">
                  <c:v>MOHC-HadGEM2-ES_rcp26_r1i1p1_SMHI-RCA4</c:v>
                </c:pt>
                <c:pt idx="15">
                  <c:v>MPI-M-MPI-ESM-LR_rcp26_r1i1p1_MPI-CSC-REMO2009</c:v>
                </c:pt>
                <c:pt idx="18">
                  <c:v>MPI-M-MPI-ESM-LR_rcp26_r1i1p1_SMHI-RCA4</c:v>
                </c:pt>
                <c:pt idx="21">
                  <c:v>MPI-M-MPI-ESM-LR_rcp26_r2i1p1_MPI-CSC-REMO2009</c:v>
                </c:pt>
                <c:pt idx="24">
                  <c:v>CNRM-CERFACS-CNRM-CM5_rcp45_r1i1p1_CLMcom-CCLM4-8-17</c:v>
                </c:pt>
                <c:pt idx="27">
                  <c:v>CNRM-CERFACS-CNRM-CM5_rcp45_r1i1p1_CNRM-ALADIN53</c:v>
                </c:pt>
                <c:pt idx="30">
                  <c:v>CNRM-CERFACS-CNRM-CM5_rcp45_r1i1p1_SMHI-RCA4</c:v>
                </c:pt>
                <c:pt idx="33">
                  <c:v>ICHEC-EC-EARTH_rcp45_r12i1p1_CLMcom-CCLM4-8-17</c:v>
                </c:pt>
                <c:pt idx="36">
                  <c:v>ICHEC-EC-EARTH_rcp45_r12i1p1_SMHI-RCA4</c:v>
                </c:pt>
                <c:pt idx="39">
                  <c:v>ICHEC-EC-EARTH_rcp45_r1i1p1_KNMI-RACMO22E</c:v>
                </c:pt>
                <c:pt idx="42">
                  <c:v>ICHEC-EC-EARTH_rcp45_r3i1p1_DMI-HIRHAM5</c:v>
                </c:pt>
                <c:pt idx="45">
                  <c:v>IPSL-IPSL-CM5A-MR_rcp45_r1i1p1_IPSL-INERIS-WRF331F</c:v>
                </c:pt>
                <c:pt idx="48">
                  <c:v>IPSL-IPSL-CM5A-MR_rcp45_r1i1p1_SMHI-RCA4</c:v>
                </c:pt>
                <c:pt idx="51">
                  <c:v>MOHC-HadGEM2-ES_rcp45_r1i1p1_CLMcom-CCLM4-8-17</c:v>
                </c:pt>
                <c:pt idx="54">
                  <c:v>MOHC-HadGEM2-ES_rcp45_r1i1p1_SMHI-RCA4</c:v>
                </c:pt>
                <c:pt idx="57">
                  <c:v>MPI-M-MPI-ESM-LR_rcp45_r1i1p1_CLMcom-CCLM4-8-17</c:v>
                </c:pt>
                <c:pt idx="60">
                  <c:v>MPI-M-MPI-ESM-LR_rcp45_r1i1p1_SMHI-RCA4</c:v>
                </c:pt>
                <c:pt idx="63">
                  <c:v>CNRM-CERFACS-CNRM-CM5_rcp85_r1i1p1_CLMcom-CCLM4-8-17</c:v>
                </c:pt>
                <c:pt idx="66">
                  <c:v>CNRM-CERFACS-CNRM-CM5_rcp85_r1i1p1_CNRM-ALADIN53</c:v>
                </c:pt>
                <c:pt idx="69">
                  <c:v>CNRM-CERFACS-CNRM-CM5_rcp85_r1i1p1_SMHI-RCA4</c:v>
                </c:pt>
                <c:pt idx="72">
                  <c:v>ICHEC-EC-EARTH_rcp85_r12i1p1_CLMcom-CCLM4-8-17</c:v>
                </c:pt>
                <c:pt idx="75">
                  <c:v>ICHEC-EC-EARTH_rcp85_r12i1p1_SMHI-RCA4</c:v>
                </c:pt>
                <c:pt idx="78">
                  <c:v>ICHEC-EC-EARTH_rcp85_r1i1p1_KNMI-RACMO22E</c:v>
                </c:pt>
                <c:pt idx="81">
                  <c:v>ICHEC-EC-EARTH_rcp85_r3i1p1_DMI-HIRHAM5</c:v>
                </c:pt>
                <c:pt idx="84">
                  <c:v>IPSL-IPSL-CM5A-MR_rcp85_r1i1p1_IPSL-INERIS-WRF331F</c:v>
                </c:pt>
                <c:pt idx="87">
                  <c:v>IPSL-IPSL-CM5A-MR_rcp85_r1i1p1_SMHI-RCA4</c:v>
                </c:pt>
                <c:pt idx="90">
                  <c:v>MOHC-HadGEM2-ES_rcp85_r1i1p1_CLMcom-CCLM4-8-17</c:v>
                </c:pt>
                <c:pt idx="93">
                  <c:v>MOHC-HadGEM2-ES_rcp85_r1i1p1_SMHI-RCA4</c:v>
                </c:pt>
                <c:pt idx="96">
                  <c:v>MPI-M-MPI-ESM-LR_rcp85_r1i1p1_CLMcom-CCLM4-8-17</c:v>
                </c:pt>
                <c:pt idx="99">
                  <c:v>MPI-M-MPI-ESM-LR_rcp85_r1i1p1_SMHI-RCA4</c:v>
                </c:pt>
              </c:strCache>
            </c:strRef>
          </c:cat>
          <c:val>
            <c:numRef>
              <c:f>Tabelle1!$AG$3:$AG$103</c:f>
              <c:numCache>
                <c:formatCode>General</c:formatCode>
                <c:ptCount val="101"/>
                <c:pt idx="67">
                  <c:v>17</c:v>
                </c:pt>
                <c:pt idx="70">
                  <c:v>18</c:v>
                </c:pt>
                <c:pt idx="73">
                  <c:v>13</c:v>
                </c:pt>
                <c:pt idx="76">
                  <c:v>18</c:v>
                </c:pt>
                <c:pt idx="79">
                  <c:v>14</c:v>
                </c:pt>
                <c:pt idx="88">
                  <c:v>13</c:v>
                </c:pt>
                <c:pt idx="91">
                  <c:v>11</c:v>
                </c:pt>
                <c:pt idx="94">
                  <c:v>14</c:v>
                </c:pt>
                <c:pt idx="10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2F-6144-B0B1-640C17C2C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63647487"/>
        <c:axId val="1660275343"/>
      </c:barChart>
      <c:catAx>
        <c:axId val="20636474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0275343"/>
        <c:crosses val="autoZero"/>
        <c:auto val="0"/>
        <c:lblAlgn val="ctr"/>
        <c:lblOffset val="100"/>
        <c:tickLblSkip val="1"/>
        <c:noMultiLvlLbl val="1"/>
      </c:catAx>
      <c:valAx>
        <c:axId val="1660275343"/>
        <c:scaling>
          <c:orientation val="minMax"/>
          <c:max val="21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ADADA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63647487"/>
        <c:crosses val="max"/>
        <c:crossBetween val="between"/>
        <c:minorUnit val="5"/>
      </c:valAx>
      <c:spPr>
        <a:noFill/>
        <a:ln>
          <a:solidFill>
            <a:srgbClr val="DADADA"/>
          </a:solidFill>
        </a:ln>
        <a:effectLst/>
      </c:spPr>
    </c:plotArea>
    <c:legend>
      <c:legendPos val="tr"/>
      <c:layout>
        <c:manualLayout>
          <c:xMode val="edge"/>
          <c:yMode val="edge"/>
          <c:x val="0.83330635356393812"/>
          <c:y val="2.7570984334577494E-2"/>
          <c:w val="0.14215422223014204"/>
          <c:h val="0.24433884802793138"/>
        </c:manualLayout>
      </c:layout>
      <c:overlay val="1"/>
      <c:spPr>
        <a:solidFill>
          <a:schemeClr val="bg1"/>
        </a:solidFill>
        <a:ln>
          <a:solidFill>
            <a:srgbClr val="DADADA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1"/>
              <a:t>Temperature</a:t>
            </a:r>
            <a:r>
              <a:rPr lang="de-DE" sz="1400" b="1" baseline="0"/>
              <a:t> signals of OEKS15 models vs. GCM background models for all GWLs</a:t>
            </a:r>
            <a:endParaRPr lang="de-DE" sz="1400" b="1"/>
          </a:p>
        </c:rich>
      </c:tx>
      <c:layout>
        <c:manualLayout>
          <c:xMode val="edge"/>
          <c:yMode val="edge"/>
          <c:x val="0.15607556854496674"/>
          <c:y val="4.2527140032163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3045102087654485E-2"/>
          <c:y val="0.13695966934728043"/>
          <c:w val="0.88293696330744209"/>
          <c:h val="0.7453041974824428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Trend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9.1273561765386219E-3"/>
                  <c:y val="-2.8291533046607042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Tabelle1!$A$3:$A$83</c:f>
              <c:numCache>
                <c:formatCode>0.000</c:formatCode>
                <c:ptCount val="81"/>
                <c:pt idx="0">
                  <c:v>0.15918416752297701</c:v>
                </c:pt>
                <c:pt idx="1">
                  <c:v>0.15918416752297701</c:v>
                </c:pt>
                <c:pt idx="2">
                  <c:v>0.15918416752297701</c:v>
                </c:pt>
                <c:pt idx="3">
                  <c:v>1.3653254416148299</c:v>
                </c:pt>
                <c:pt idx="4">
                  <c:v>0.56211865743001899</c:v>
                </c:pt>
                <c:pt idx="5">
                  <c:v>0.56211865743001899</c:v>
                </c:pt>
                <c:pt idx="6">
                  <c:v>0.57081158955894795</c:v>
                </c:pt>
                <c:pt idx="7">
                  <c:v>0.63252829487877804</c:v>
                </c:pt>
                <c:pt idx="8">
                  <c:v>0.63252829487877804</c:v>
                </c:pt>
                <c:pt idx="9">
                  <c:v>0.63252829487877804</c:v>
                </c:pt>
                <c:pt idx="10">
                  <c:v>0.37880875913762102</c:v>
                </c:pt>
                <c:pt idx="11">
                  <c:v>0.37880875913762102</c:v>
                </c:pt>
                <c:pt idx="12">
                  <c:v>0.457424211517724</c:v>
                </c:pt>
                <c:pt idx="13">
                  <c:v>1.28844432176343</c:v>
                </c:pt>
                <c:pt idx="14">
                  <c:v>1.28844432176343</c:v>
                </c:pt>
                <c:pt idx="15">
                  <c:v>0.36612952992296299</c:v>
                </c:pt>
                <c:pt idx="16">
                  <c:v>0.36612952992296299</c:v>
                </c:pt>
                <c:pt idx="17">
                  <c:v>0.27052468193900803</c:v>
                </c:pt>
                <c:pt idx="18">
                  <c:v>0.27052468193900803</c:v>
                </c:pt>
                <c:pt idx="19">
                  <c:v>0.80631215971271497</c:v>
                </c:pt>
                <c:pt idx="20">
                  <c:v>0.80631215971271497</c:v>
                </c:pt>
                <c:pt idx="21">
                  <c:v>0.80631215971271497</c:v>
                </c:pt>
                <c:pt idx="22">
                  <c:v>0.32010671893003101</c:v>
                </c:pt>
                <c:pt idx="23">
                  <c:v>0.32010671893003101</c:v>
                </c:pt>
                <c:pt idx="24">
                  <c:v>0.33111575072592803</c:v>
                </c:pt>
                <c:pt idx="25">
                  <c:v>1.2518766969956201</c:v>
                </c:pt>
                <c:pt idx="26">
                  <c:v>1.2518766969956201</c:v>
                </c:pt>
                <c:pt idx="27">
                  <c:v>0.45625948782276199</c:v>
                </c:pt>
                <c:pt idx="28">
                  <c:v>0.45625948782276199</c:v>
                </c:pt>
                <c:pt idx="29">
                  <c:v>0.28053309122718101</c:v>
                </c:pt>
                <c:pt idx="30">
                  <c:v>0.28053309122718101</c:v>
                </c:pt>
                <c:pt idx="31">
                  <c:v>1.610914836536</c:v>
                </c:pt>
                <c:pt idx="32">
                  <c:v>1.610914836536</c:v>
                </c:pt>
                <c:pt idx="33">
                  <c:v>1.610914836536</c:v>
                </c:pt>
                <c:pt idx="34">
                  <c:v>0.86234560615966405</c:v>
                </c:pt>
                <c:pt idx="35">
                  <c:v>0.86234560615966405</c:v>
                </c:pt>
                <c:pt idx="36">
                  <c:v>0.62479549838627901</c:v>
                </c:pt>
                <c:pt idx="37">
                  <c:v>1.99852194768752</c:v>
                </c:pt>
                <c:pt idx="38">
                  <c:v>1.99852194768752</c:v>
                </c:pt>
                <c:pt idx="39">
                  <c:v>0.83404442313203897</c:v>
                </c:pt>
                <c:pt idx="40">
                  <c:v>0.83404442313203897</c:v>
                </c:pt>
                <c:pt idx="41">
                  <c:v>0.99868554009331101</c:v>
                </c:pt>
                <c:pt idx="42">
                  <c:v>0.99868554009331101</c:v>
                </c:pt>
                <c:pt idx="43">
                  <c:v>1.5717548309150999</c:v>
                </c:pt>
                <c:pt idx="44">
                  <c:v>1.5717548309150999</c:v>
                </c:pt>
                <c:pt idx="45">
                  <c:v>1.5717548309150999</c:v>
                </c:pt>
                <c:pt idx="46">
                  <c:v>0.94183442623305202</c:v>
                </c:pt>
                <c:pt idx="47">
                  <c:v>0.94183442623305202</c:v>
                </c:pt>
                <c:pt idx="48">
                  <c:v>0.90064316589890403</c:v>
                </c:pt>
                <c:pt idx="49">
                  <c:v>1.65339945881786</c:v>
                </c:pt>
                <c:pt idx="50">
                  <c:v>1.65339945881786</c:v>
                </c:pt>
                <c:pt idx="51">
                  <c:v>0.70197696001481202</c:v>
                </c:pt>
                <c:pt idx="52">
                  <c:v>0.70197696001481202</c:v>
                </c:pt>
                <c:pt idx="53">
                  <c:v>0.89448763529455499</c:v>
                </c:pt>
                <c:pt idx="54">
                  <c:v>0.89448763529455499</c:v>
                </c:pt>
                <c:pt idx="55">
                  <c:v>2.8577991666382299</c:v>
                </c:pt>
                <c:pt idx="56">
                  <c:v>2.8577991666382299</c:v>
                </c:pt>
                <c:pt idx="57">
                  <c:v>2.1307141433336501</c:v>
                </c:pt>
                <c:pt idx="58">
                  <c:v>2.1307141433336501</c:v>
                </c:pt>
                <c:pt idx="59">
                  <c:v>2.6047206391182098</c:v>
                </c:pt>
                <c:pt idx="60">
                  <c:v>2.6047206391182098</c:v>
                </c:pt>
                <c:pt idx="61">
                  <c:v>2.6047206391182098</c:v>
                </c:pt>
                <c:pt idx="62">
                  <c:v>1.93926760911421</c:v>
                </c:pt>
                <c:pt idx="63">
                  <c:v>1.93926760911421</c:v>
                </c:pt>
                <c:pt idx="64">
                  <c:v>1.5027791696181101</c:v>
                </c:pt>
                <c:pt idx="65">
                  <c:v>2.85472428786268</c:v>
                </c:pt>
                <c:pt idx="66">
                  <c:v>2.85472428786268</c:v>
                </c:pt>
                <c:pt idx="67">
                  <c:v>2.0070241649878402</c:v>
                </c:pt>
                <c:pt idx="68">
                  <c:v>2.0070241649878402</c:v>
                </c:pt>
                <c:pt idx="69">
                  <c:v>2.13368631998694</c:v>
                </c:pt>
                <c:pt idx="70">
                  <c:v>2.13368631998694</c:v>
                </c:pt>
                <c:pt idx="71">
                  <c:v>3.8460715047062499</c:v>
                </c:pt>
                <c:pt idx="72">
                  <c:v>3.8460715047062499</c:v>
                </c:pt>
                <c:pt idx="73">
                  <c:v>3.8460715047062499</c:v>
                </c:pt>
                <c:pt idx="74">
                  <c:v>2.9187363127111499</c:v>
                </c:pt>
                <c:pt idx="75">
                  <c:v>4.2617375100454602</c:v>
                </c:pt>
                <c:pt idx="76">
                  <c:v>4.2617375100454602</c:v>
                </c:pt>
                <c:pt idx="77">
                  <c:v>3.2069946275303298</c:v>
                </c:pt>
                <c:pt idx="78">
                  <c:v>3.2069946275303298</c:v>
                </c:pt>
                <c:pt idx="79">
                  <c:v>3.25464655558264</c:v>
                </c:pt>
                <c:pt idx="80">
                  <c:v>3.25464655558264</c:v>
                </c:pt>
              </c:numCache>
            </c:numRef>
          </c:xVal>
          <c:yVal>
            <c:numRef>
              <c:f>Tabelle1!$B$3:$B$83</c:f>
              <c:numCache>
                <c:formatCode>0.000</c:formatCode>
                <c:ptCount val="81"/>
                <c:pt idx="0">
                  <c:v>9.0623809999999999E-2</c:v>
                </c:pt>
                <c:pt idx="1">
                  <c:v>0.29548099999999999</c:v>
                </c:pt>
                <c:pt idx="2">
                  <c:v>0.45683049999999997</c:v>
                </c:pt>
                <c:pt idx="3">
                  <c:v>1.0329398999999999</c:v>
                </c:pt>
                <c:pt idx="4">
                  <c:v>0.44223594999999999</c:v>
                </c:pt>
                <c:pt idx="5">
                  <c:v>0.60457019999999995</c:v>
                </c:pt>
                <c:pt idx="6">
                  <c:v>0.586391</c:v>
                </c:pt>
                <c:pt idx="7">
                  <c:v>0.35588681999999999</c:v>
                </c:pt>
                <c:pt idx="8">
                  <c:v>0.42781787999999998</c:v>
                </c:pt>
                <c:pt idx="9">
                  <c:v>0.52190990000000004</c:v>
                </c:pt>
                <c:pt idx="10">
                  <c:v>0.38333833</c:v>
                </c:pt>
                <c:pt idx="11">
                  <c:v>0.48546289999999997</c:v>
                </c:pt>
                <c:pt idx="12">
                  <c:v>0.56741010000000003</c:v>
                </c:pt>
                <c:pt idx="13">
                  <c:v>0.96591585999999996</c:v>
                </c:pt>
                <c:pt idx="14">
                  <c:v>0.97880469999999997</c:v>
                </c:pt>
                <c:pt idx="15">
                  <c:v>0.18303112999999999</c:v>
                </c:pt>
                <c:pt idx="16">
                  <c:v>0.35165386999999998</c:v>
                </c:pt>
                <c:pt idx="17">
                  <c:v>0.17434321</c:v>
                </c:pt>
                <c:pt idx="18">
                  <c:v>0.26283157000000001</c:v>
                </c:pt>
                <c:pt idx="19">
                  <c:v>0.50512855999999995</c:v>
                </c:pt>
                <c:pt idx="20">
                  <c:v>0.78271276000000001</c:v>
                </c:pt>
                <c:pt idx="21">
                  <c:v>0.79933995000000002</c:v>
                </c:pt>
                <c:pt idx="22">
                  <c:v>0.23519899999999999</c:v>
                </c:pt>
                <c:pt idx="23">
                  <c:v>0.43507950000000001</c:v>
                </c:pt>
                <c:pt idx="24">
                  <c:v>0.50606775000000004</c:v>
                </c:pt>
                <c:pt idx="25">
                  <c:v>0.97386439999999996</c:v>
                </c:pt>
                <c:pt idx="26">
                  <c:v>0.98836630000000003</c:v>
                </c:pt>
                <c:pt idx="27">
                  <c:v>0.40934577999999999</c:v>
                </c:pt>
                <c:pt idx="28">
                  <c:v>0.48655366999999999</c:v>
                </c:pt>
                <c:pt idx="29">
                  <c:v>0.29101974000000003</c:v>
                </c:pt>
                <c:pt idx="30">
                  <c:v>0.25983200000000001</c:v>
                </c:pt>
                <c:pt idx="31">
                  <c:v>1.1164337</c:v>
                </c:pt>
                <c:pt idx="32">
                  <c:v>1.4269999</c:v>
                </c:pt>
                <c:pt idx="33">
                  <c:v>1.4629586999999999</c:v>
                </c:pt>
                <c:pt idx="34">
                  <c:v>0.77936709999999998</c:v>
                </c:pt>
                <c:pt idx="35">
                  <c:v>1.1440437999999999</c:v>
                </c:pt>
                <c:pt idx="36">
                  <c:v>0.83607894000000005</c:v>
                </c:pt>
                <c:pt idx="37">
                  <c:v>1.6673487</c:v>
                </c:pt>
                <c:pt idx="38">
                  <c:v>1.4296597</c:v>
                </c:pt>
                <c:pt idx="39">
                  <c:v>0.70583885999999996</c:v>
                </c:pt>
                <c:pt idx="40">
                  <c:v>0.74572194000000003</c:v>
                </c:pt>
                <c:pt idx="41">
                  <c:v>0.79325056000000005</c:v>
                </c:pt>
                <c:pt idx="42">
                  <c:v>1.0605827999999999</c:v>
                </c:pt>
                <c:pt idx="43">
                  <c:v>1.0469978</c:v>
                </c:pt>
                <c:pt idx="44">
                  <c:v>1.2177255</c:v>
                </c:pt>
                <c:pt idx="45">
                  <c:v>1.4378808999999999</c:v>
                </c:pt>
                <c:pt idx="46">
                  <c:v>0.70149916000000001</c:v>
                </c:pt>
                <c:pt idx="47">
                  <c:v>1.2004429999999999</c:v>
                </c:pt>
                <c:pt idx="48">
                  <c:v>0.98450917000000004</c:v>
                </c:pt>
                <c:pt idx="49">
                  <c:v>1.3713690999999999</c:v>
                </c:pt>
                <c:pt idx="50">
                  <c:v>1.2717835</c:v>
                </c:pt>
                <c:pt idx="51">
                  <c:v>0.16441785</c:v>
                </c:pt>
                <c:pt idx="52">
                  <c:v>0.69433429999999996</c:v>
                </c:pt>
                <c:pt idx="53">
                  <c:v>0.7321299</c:v>
                </c:pt>
                <c:pt idx="54">
                  <c:v>0.86645360000000005</c:v>
                </c:pt>
                <c:pt idx="55">
                  <c:v>2.4161831999999999</c:v>
                </c:pt>
                <c:pt idx="56">
                  <c:v>2.5177238000000002</c:v>
                </c:pt>
                <c:pt idx="57">
                  <c:v>1.762397</c:v>
                </c:pt>
                <c:pt idx="58">
                  <c:v>2.1931251999999999</c:v>
                </c:pt>
                <c:pt idx="59">
                  <c:v>2.019355</c:v>
                </c:pt>
                <c:pt idx="60">
                  <c:v>2.6094992000000001</c:v>
                </c:pt>
                <c:pt idx="61">
                  <c:v>2.7811110000000001</c:v>
                </c:pt>
                <c:pt idx="62">
                  <c:v>1.7608200000000001</c:v>
                </c:pt>
                <c:pt idx="63">
                  <c:v>2.6340458</c:v>
                </c:pt>
                <c:pt idx="64">
                  <c:v>1.5260384</c:v>
                </c:pt>
                <c:pt idx="65">
                  <c:v>2.4136199999999999</c:v>
                </c:pt>
                <c:pt idx="66">
                  <c:v>2.2678582999999999</c:v>
                </c:pt>
                <c:pt idx="67">
                  <c:v>0.91975899999999999</c:v>
                </c:pt>
                <c:pt idx="68">
                  <c:v>2.0894370000000002</c:v>
                </c:pt>
                <c:pt idx="69">
                  <c:v>1.7708900999999999</c:v>
                </c:pt>
                <c:pt idx="70">
                  <c:v>2.1349062999999999</c:v>
                </c:pt>
                <c:pt idx="71">
                  <c:v>3.0102582</c:v>
                </c:pt>
                <c:pt idx="72">
                  <c:v>3.5986015999999998</c:v>
                </c:pt>
                <c:pt idx="73">
                  <c:v>3.9668462</c:v>
                </c:pt>
                <c:pt idx="74">
                  <c:v>3.250985</c:v>
                </c:pt>
                <c:pt idx="75">
                  <c:v>3.6632657000000002</c:v>
                </c:pt>
                <c:pt idx="76">
                  <c:v>3.5443655999999999</c:v>
                </c:pt>
                <c:pt idx="77">
                  <c:v>2.1218149999999998</c:v>
                </c:pt>
                <c:pt idx="78">
                  <c:v>3.1780202000000002</c:v>
                </c:pt>
                <c:pt idx="79">
                  <c:v>2.7940573999999998</c:v>
                </c:pt>
                <c:pt idx="80">
                  <c:v>3.4961212000000002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52-2342-9D65-0937ED878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747552"/>
        <c:axId val="2049064480"/>
      </c:scatterChart>
      <c:valAx>
        <c:axId val="2049747552"/>
        <c:scaling>
          <c:orientation val="minMax"/>
          <c:max val="4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/>
                  <a:t>Temperature</a:t>
                </a:r>
                <a:r>
                  <a:rPr lang="de-DE" sz="1200" baseline="0"/>
                  <a:t> signal (vs. 1991-2020) of CMIP5 GCMs</a:t>
                </a:r>
                <a:endParaRPr lang="de-DE" sz="1200"/>
              </a:p>
            </c:rich>
          </c:tx>
          <c:layout>
            <c:manualLayout>
              <c:xMode val="edge"/>
              <c:yMode val="edge"/>
              <c:x val="0.34416939631084215"/>
              <c:y val="0.947080732480985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49064480"/>
        <c:crossesAt val="0"/>
        <c:crossBetween val="midCat"/>
      </c:valAx>
      <c:valAx>
        <c:axId val="2049064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/>
                  <a:t>Temperature</a:t>
                </a:r>
                <a:r>
                  <a:rPr lang="de-DE" sz="1200" baseline="0"/>
                  <a:t> signal (vs. 1991-2020) of OEKS15 models</a:t>
                </a:r>
                <a:endParaRPr lang="de-DE" sz="1200"/>
              </a:p>
            </c:rich>
          </c:tx>
          <c:layout>
            <c:manualLayout>
              <c:xMode val="edge"/>
              <c:yMode val="edge"/>
              <c:x val="1.3277052246216088E-2"/>
              <c:y val="0.226712365017401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49747552"/>
        <c:crossesAt val="0"/>
        <c:crossBetween val="midCat"/>
      </c:valAx>
      <c:spPr>
        <a:noFill/>
        <a:ln>
          <a:solidFill>
            <a:srgbClr val="DADADA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_xlchart.v1.0</cx:f>
      </cx:numDim>
    </cx:data>
    <cx:data id="1">
      <cx:strDim type="cat">
        <cx:f>_xlchart.v1.4</cx:f>
      </cx:strDim>
      <cx:numDim type="val">
        <cx:f>_xlchart.v1.1</cx:f>
      </cx:numDim>
    </cx:data>
    <cx:data id="2">
      <cx:strDim type="cat">
        <cx:f>_xlchart.v1.4</cx:f>
      </cx:strDim>
      <cx:numDim type="val">
        <cx:f>_xlchart.v1.2</cx:f>
      </cx:numDim>
    </cx:data>
    <cx:data id="3">
      <cx:strDim type="cat">
        <cx:f>_xlchart.v1.4</cx:f>
      </cx:strDim>
      <cx:numDim type="val">
        <cx:f>_xlchart.v1.3</cx:f>
      </cx:numDim>
    </cx:data>
  </cx:chartData>
  <cx:chart>
    <cx:title pos="t" align="ctr" overlay="0">
      <cx:tx>
        <cx:txData>
          <cx:v>Date of reaching GWLs: CMIP6 - CMIP5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de-DE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Date of reaching GWLs: CMIP6 - CMIP5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boxWhisker" uniqueId="{00000007-8C2E-6046-9CB2-CB9C5341ECB9}" formatIdx="0">
          <cx:tx>
            <cx:txData>
              <cx:f/>
              <cx:v>1.5°C</cx:v>
            </cx:txData>
          </cx:tx>
          <cx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</cx:spPr>
          <cx:dataId val="0"/>
          <cx:layoutPr>
            <cx:visibility meanLine="1" meanMarker="0" nonoutliers="0"/>
            <cx:statistics quartileMethod="exclusive"/>
          </cx:layoutPr>
        </cx:series>
        <cx:series layoutId="boxWhisker" uniqueId="{00000005-E6FF-D540-8FC9-92E5F16CD45B}" formatIdx="6">
          <cx:tx>
            <cx:txData>
              <cx:f/>
              <cx:v>2.0°C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/>
              </a:solidFill>
            </a:ln>
          </cx:spPr>
          <cx:dataId val="1"/>
          <cx:layoutPr>
            <cx:visibility meanLine="1" meanMarker="0" nonoutliers="0"/>
            <cx:statistics quartileMethod="exclusive"/>
          </cx:layoutPr>
        </cx:series>
        <cx:series layoutId="boxWhisker" uniqueId="{00000009-E6FF-D540-8FC9-92E5F16CD45B}" formatIdx="10">
          <cx:tx>
            <cx:txData>
              <cx:f/>
              <cx:v>3.0°C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/>
              </a:solidFill>
            </a:ln>
          </cx:spPr>
          <cx:dataId val="2"/>
          <cx:layoutPr>
            <cx:visibility meanLine="1" meanMarker="0" nonoutliers="0"/>
            <cx:statistics quartileMethod="exclusive"/>
          </cx:layoutPr>
        </cx:series>
        <cx:series layoutId="boxWhisker" uniqueId="{0000000D-E6FF-D540-8FC9-92E5F16CD45B}" formatIdx="14">
          <cx:tx>
            <cx:txData>
              <cx:f/>
              <cx:v>4.0°C</cx:v>
            </cx:txData>
          </cx:tx>
          <cx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</cx:spPr>
          <cx:dataId val="3"/>
          <cx:layoutPr>
            <cx:visibility meanLine="1" meanMarker="0" nonoutliers="0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Difference (years)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de-DE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Difference (years)</a:t>
              </a:r>
            </a:p>
          </cx:txPr>
        </cx:title>
        <cx:majorGridlines/>
        <cx:majorTickMarks type="out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de-DE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r" align="ctr" overlay="1">
      <cx:spPr>
        <a:solidFill>
          <a:schemeClr val="bg1"/>
        </a:solidFill>
        <a:ln>
          <a:solidFill>
            <a:srgbClr val="DADADA"/>
          </a:solidFill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de-DE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  <cx:data id="1">
      <cx:numDim type="val">
        <cx:f>_xlchart.v1.18</cx:f>
      </cx:numDim>
    </cx:data>
    <cx:data id="2">
      <cx:numDim type="val">
        <cx:f>_xlchart.v1.20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latin typeface="+mn-lt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de-DE" sz="12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cs typeface="Arial" panose="020B0604020202020204" pitchFamily="34" charset="0"/>
              </a:rPr>
              <a:t>Mean temperature change in Austria after RCPs</a:t>
            </a:r>
          </a:p>
          <a:p>
            <a:pPr algn="ctr" rtl="0">
              <a:defRPr sz="1200">
                <a:latin typeface="+mn-lt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de-DE" sz="12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cs typeface="Arial" panose="020B0604020202020204" pitchFamily="34" charset="0"/>
              </a:rPr>
              <a:t>2081-2100 vs. 1991-2020</a:t>
            </a:r>
          </a:p>
        </cx:rich>
      </cx:tx>
    </cx:title>
    <cx:plotArea>
      <cx:plotAreaRegion>
        <cx:plotSurface>
          <cx:spPr>
            <a:ln>
              <a:solidFill>
                <a:srgbClr val="DADADA"/>
              </a:solidFill>
            </a:ln>
          </cx:spPr>
        </cx:plotSurface>
        <cx:series layoutId="boxWhisker" uniqueId="{24BF4607-F4E8-E345-97F3-975C8A945A06}" formatIdx="0">
          <cx:tx>
            <cx:txData>
              <cx:f>_xlchart.v1.15</cx:f>
              <cx:v>rcp26</cx:v>
            </cx:txData>
          </cx:tx>
          <cx:dataId val="0"/>
          <cx:layoutPr>
            <cx:visibility meanLine="1" meanMarker="0" nonoutliers="0" outliers="1"/>
            <cx:statistics quartileMethod="exclusive"/>
          </cx:layoutPr>
        </cx:series>
        <cx:series layoutId="boxWhisker" uniqueId="{B15400F1-0218-BE43-9F95-AD4EAABB47CD}" formatIdx="1">
          <cx:tx>
            <cx:txData>
              <cx:f>_xlchart.v1.17</cx:f>
              <cx:v>rcp45</cx:v>
            </cx:txData>
          </cx:tx>
          <cx:dataId val="1"/>
          <cx:layoutPr>
            <cx:visibility meanLine="1" meanMarker="0" nonoutliers="0" outliers="1"/>
            <cx:statistics quartileMethod="exclusive"/>
          </cx:layoutPr>
        </cx:series>
        <cx:series layoutId="boxWhisker" uniqueId="{99A6A248-8D06-4B4A-861B-9E311114F9A0}" formatIdx="2">
          <cx:tx>
            <cx:txData>
              <cx:f>_xlchart.v1.19</cx:f>
              <cx:v>rcp85</cx:v>
            </cx:txData>
          </cx:tx>
          <cx:dataId val="2"/>
          <cx:layoutPr>
            <cx:visibility meanLine="1" meanMarker="0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5.5" min="-0.5"/>
        <cx:title>
          <cx:tx>
            <cx:txData>
              <cx:v>Δ Tmean (°C)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Δ Tmean (°C)</a:t>
              </a:r>
            </a:p>
          </cx:txPr>
        </cx:title>
        <cx:majorGridlines/>
        <cx:majorTickMarks type="in"/>
        <cx:tickLabels/>
        <cx:numFmt formatCode="#.##0,0" sourceLinked="0"/>
        <cx:spPr>
          <a:ln>
            <a:noFill/>
          </a:ln>
        </cx:spPr>
      </cx:axis>
    </cx:plotArea>
    <cx:legend pos="r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_xlchart.v1.22</cx:f>
      </cx:numDim>
    </cx:data>
    <cx:data id="2">
      <cx:numDim type="val">
        <cx:f>_xlchart.v1.23</cx:f>
      </cx:numDim>
    </cx:data>
    <cx:data id="3">
      <cx:numDim type="val">
        <cx:f>_xlchart.v1.24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200">
                <a:solidFill>
                  <a:srgbClr val="8C8D8C"/>
                </a:solidFill>
                <a:latin typeface="+mn-lt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de-DE" sz="1200" b="0" i="0" u="none" strike="noStrike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cs typeface="Arial" panose="020B0604020202020204" pitchFamily="34" charset="0"/>
              </a:rPr>
              <a:t>Mean </a:t>
            </a:r>
            <a:r>
              <a:rPr lang="de-DE" sz="12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cs typeface="Arial" panose="020B0604020202020204" pitchFamily="34" charset="0"/>
              </a:rPr>
              <a:t>temperature</a:t>
            </a:r>
            <a:r>
              <a:rPr lang="de-DE" sz="1200" b="0" i="0" u="none" strike="noStrike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cs typeface="Arial" panose="020B0604020202020204" pitchFamily="34" charset="0"/>
              </a:rPr>
              <a:t> </a:t>
            </a:r>
            <a:r>
              <a:rPr lang="de-DE" sz="1200" b="0" i="0" u="none" strike="noStrike" baseline="0" dirty="0" err="1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cs typeface="Arial" panose="020B0604020202020204" pitchFamily="34" charset="0"/>
              </a:rPr>
              <a:t>change</a:t>
            </a:r>
            <a:r>
              <a:rPr lang="de-DE" sz="1200" b="0" i="0" u="none" strike="noStrike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cs typeface="Arial" panose="020B0604020202020204" pitchFamily="34" charset="0"/>
              </a:rPr>
              <a:t> in Austria after GWLs</a:t>
            </a:r>
          </a:p>
          <a:p>
            <a:pPr rtl="0">
              <a:defRPr sz="1200">
                <a:solidFill>
                  <a:srgbClr val="8C8D8C"/>
                </a:solidFill>
                <a:latin typeface="+mn-lt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de-AT" sz="1200" b="0" i="0" u="none" strike="noStrike" baseline="0" dirty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cs typeface="Arial" panose="020B0604020202020204" pitchFamily="34" charset="0"/>
            </a:endParaRPr>
          </a:p>
        </cx:rich>
      </cx:tx>
    </cx:title>
    <cx:plotArea>
      <cx:plotAreaRegion>
        <cx:plotSurface>
          <cx:spPr>
            <a:ln>
              <a:solidFill>
                <a:srgbClr val="DADADA"/>
              </a:solidFill>
            </a:ln>
          </cx:spPr>
        </cx:plotSurface>
        <cx:series layoutId="boxWhisker" uniqueId="{00000004-A514-714D-B0A9-FA45D8D7D0BE}" formatIdx="4">
          <cx:tx>
            <cx:txData>
              <cx:f/>
              <cx:v>1.5°C</cx:v>
            </cx:txData>
          </cx:tx>
          <cx:dataId val="0"/>
          <cx:layoutPr>
            <cx:visibility meanLine="1" meanMarker="0" nonoutliers="0"/>
            <cx:statistics quartileMethod="exclusive"/>
          </cx:layoutPr>
        </cx:series>
        <cx:series layoutId="boxWhisker" uniqueId="{00000005-A514-714D-B0A9-FA45D8D7D0BE}" formatIdx="5">
          <cx:tx>
            <cx:txData>
              <cx:f/>
              <cx:v>2.0°C</cx:v>
            </cx:txData>
          </cx:tx>
          <cx:dataId val="1"/>
          <cx:layoutPr>
            <cx:visibility meanLine="1" meanMarker="0" nonoutliers="0"/>
            <cx:statistics quartileMethod="exclusive"/>
          </cx:layoutPr>
        </cx:series>
        <cx:series layoutId="boxWhisker" uniqueId="{00000006-A514-714D-B0A9-FA45D8D7D0BE}" formatIdx="6">
          <cx:tx>
            <cx:txData>
              <cx:f/>
              <cx:v>3.0°C</cx:v>
            </cx:txData>
          </cx:tx>
          <cx:dataId val="2"/>
          <cx:layoutPr>
            <cx:visibility meanLine="1" meanMarker="0" nonoutliers="0"/>
            <cx:statistics quartileMethod="exclusive"/>
          </cx:layoutPr>
        </cx:series>
        <cx:series layoutId="boxWhisker" uniqueId="{00000007-A514-714D-B0A9-FA45D8D7D0BE}" formatIdx="7">
          <cx:tx>
            <cx:txData>
              <cx:f/>
              <cx:v>4.0°C</cx:v>
            </cx:txData>
          </cx:tx>
          <cx:dataId val="3"/>
          <cx:layoutPr>
            <cx:visibility meanLine="1" meanMarker="0" nonoutliers="0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5.5" min="-0.5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l-GR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Δ </a:t>
                </a:r>
                <a:r>
                  <a:rPr lang="de-DE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Tmean (°C)</a:t>
                </a:r>
              </a:p>
            </cx:rich>
          </cx:tx>
        </cx:title>
        <cx:majorGridlines/>
        <cx:majorTickMarks type="out"/>
        <cx:tickLabels/>
        <cx:numFmt formatCode="0,0" sourceLinked="0"/>
        <cx:spPr>
          <a:ln>
            <a:noFill/>
          </a:ln>
        </cx:spPr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AAA44C-8EAC-184E-A610-80887D678330}">
  <sheetPr/>
  <sheetViews>
    <sheetView zoomScale="157" workbookViewId="0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8EA504-C311-924C-B0E6-2A79EDCC7AE2}">
  <sheetPr/>
  <sheetViews>
    <sheetView zoomScale="154" workbookViewId="0"/>
  </sheetViews>
  <pageMargins left="0.7" right="0.7" top="0.78740157499999996" bottom="0.78740157499999996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124E05-D85C-4F47-8C76-6948FF9502F5}">
  <sheetPr/>
  <sheetViews>
    <sheetView zoomScale="126" workbookViewId="0"/>
  </sheetViews>
  <pageMargins left="0.7" right="0.7" top="0.78740157499999996" bottom="0.78740157499999996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2584DF-5BE4-254B-9A34-C1D0D29CC981}">
  <sheetPr/>
  <sheetViews>
    <sheetView zoomScale="160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0637" cy="6026433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6DE7F60-EB2A-B840-164E-3B590D10DB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0584" cy="602013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E0B6673-C099-03F4-E7D2-0B377B114A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1738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5E9D802E-1C3D-4831-5A0B-067C6CE48984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B29BDDA8-5DE6-AAE3-F1DE-DC11C94434DD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13333" cy="601738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de-DE" sz="1100"/>
            <a:t>Dieses Diagramm ist in Ihrer Version von Excel nicht verfügbar.
Wenn Sie diese Form bearbeiten oder diese Arbeitsmappe in einem anderen Dateiformat speichern, wird das Diagramm dauerhaft beschädigt.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18625" cy="6024563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682C42A-669D-4C32-E36F-4987CC7E80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476395</xdr:colOff>
      <xdr:row>0</xdr:row>
      <xdr:rowOff>187252</xdr:rowOff>
    </xdr:from>
    <xdr:to>
      <xdr:col>5</xdr:col>
      <xdr:colOff>189375</xdr:colOff>
      <xdr:row>14</xdr:row>
      <xdr:rowOff>85652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257AD654-FF48-8BB6-A483-5F3492D478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395" y="187252"/>
              <a:ext cx="38404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5</xdr:col>
      <xdr:colOff>277171</xdr:colOff>
      <xdr:row>0</xdr:row>
      <xdr:rowOff>200291</xdr:rowOff>
    </xdr:from>
    <xdr:to>
      <xdr:col>9</xdr:col>
      <xdr:colOff>815651</xdr:colOff>
      <xdr:row>14</xdr:row>
      <xdr:rowOff>98691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m 2">
              <a:extLst>
                <a:ext uri="{FF2B5EF4-FFF2-40B4-BE49-F238E27FC236}">
                  <a16:creationId xmlns:a16="http://schemas.microsoft.com/office/drawing/2014/main" id="{3002AFFC-CB86-C158-09C1-503078213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04671" y="200291"/>
              <a:ext cx="38404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9186-7B7C-D348-AEA4-5951DF45B0E5}">
  <dimension ref="A1:E35"/>
  <sheetViews>
    <sheetView workbookViewId="0">
      <selection activeCell="B45" sqref="B45"/>
    </sheetView>
  </sheetViews>
  <sheetFormatPr baseColWidth="10" defaultRowHeight="16" x14ac:dyDescent="0.2"/>
  <cols>
    <col min="1" max="1" width="61" bestFit="1" customWidth="1"/>
  </cols>
  <sheetData>
    <row r="1" spans="1:5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11</v>
      </c>
    </row>
    <row r="3" spans="1:5" x14ac:dyDescent="0.2">
      <c r="A3" t="s">
        <v>12</v>
      </c>
      <c r="B3" t="s">
        <v>11</v>
      </c>
    </row>
    <row r="4" spans="1:5" x14ac:dyDescent="0.2">
      <c r="A4" t="s">
        <v>13</v>
      </c>
      <c r="B4" t="s">
        <v>11</v>
      </c>
    </row>
    <row r="5" spans="1:5" x14ac:dyDescent="0.2">
      <c r="A5" t="s">
        <v>15</v>
      </c>
      <c r="B5" t="s">
        <v>11</v>
      </c>
    </row>
    <row r="6" spans="1:5" x14ac:dyDescent="0.2">
      <c r="A6" t="s">
        <v>17</v>
      </c>
      <c r="B6" t="s">
        <v>18</v>
      </c>
    </row>
    <row r="7" spans="1:5" x14ac:dyDescent="0.2">
      <c r="A7" t="s">
        <v>19</v>
      </c>
      <c r="B7" t="s">
        <v>18</v>
      </c>
    </row>
    <row r="8" spans="1:5" x14ac:dyDescent="0.2">
      <c r="A8" t="s">
        <v>21</v>
      </c>
      <c r="B8" t="s">
        <v>22</v>
      </c>
    </row>
    <row r="9" spans="1:5" x14ac:dyDescent="0.2">
      <c r="A9" t="s">
        <v>24</v>
      </c>
      <c r="B9" t="s">
        <v>25</v>
      </c>
      <c r="C9" t="s">
        <v>26</v>
      </c>
    </row>
    <row r="10" spans="1:5" x14ac:dyDescent="0.2">
      <c r="A10" t="s">
        <v>27</v>
      </c>
      <c r="B10" t="s">
        <v>25</v>
      </c>
      <c r="C10" t="s">
        <v>26</v>
      </c>
    </row>
    <row r="11" spans="1:5" x14ac:dyDescent="0.2">
      <c r="A11" t="s">
        <v>28</v>
      </c>
      <c r="B11" t="s">
        <v>25</v>
      </c>
      <c r="C11" t="s">
        <v>26</v>
      </c>
    </row>
    <row r="12" spans="1:5" x14ac:dyDescent="0.2">
      <c r="A12" t="s">
        <v>30</v>
      </c>
      <c r="B12" t="s">
        <v>18</v>
      </c>
      <c r="C12" t="s">
        <v>31</v>
      </c>
    </row>
    <row r="13" spans="1:5" x14ac:dyDescent="0.2">
      <c r="A13" t="s">
        <v>32</v>
      </c>
      <c r="B13" t="s">
        <v>18</v>
      </c>
      <c r="C13" t="s">
        <v>31</v>
      </c>
    </row>
    <row r="14" spans="1:5" x14ac:dyDescent="0.2">
      <c r="A14" t="s">
        <v>34</v>
      </c>
      <c r="B14" t="s">
        <v>18</v>
      </c>
      <c r="C14" t="s">
        <v>31</v>
      </c>
    </row>
    <row r="15" spans="1:5" x14ac:dyDescent="0.2">
      <c r="A15" t="s">
        <v>36</v>
      </c>
      <c r="B15" t="s">
        <v>37</v>
      </c>
      <c r="C15" t="s">
        <v>38</v>
      </c>
      <c r="D15" t="s">
        <v>39</v>
      </c>
    </row>
    <row r="16" spans="1:5" x14ac:dyDescent="0.2">
      <c r="A16" t="s">
        <v>40</v>
      </c>
      <c r="B16" t="s">
        <v>37</v>
      </c>
      <c r="C16" t="s">
        <v>38</v>
      </c>
      <c r="D16" t="s">
        <v>39</v>
      </c>
    </row>
    <row r="17" spans="1:5" x14ac:dyDescent="0.2">
      <c r="A17" t="s">
        <v>42</v>
      </c>
      <c r="B17" t="s">
        <v>22</v>
      </c>
      <c r="C17" t="s">
        <v>43</v>
      </c>
      <c r="D17" t="s">
        <v>44</v>
      </c>
    </row>
    <row r="18" spans="1:5" x14ac:dyDescent="0.2">
      <c r="A18" t="s">
        <v>45</v>
      </c>
      <c r="B18" t="s">
        <v>22</v>
      </c>
      <c r="C18" t="s">
        <v>43</v>
      </c>
      <c r="D18" t="s">
        <v>44</v>
      </c>
    </row>
    <row r="19" spans="1:5" x14ac:dyDescent="0.2">
      <c r="A19" t="s">
        <v>47</v>
      </c>
      <c r="B19" t="s">
        <v>18</v>
      </c>
      <c r="C19" t="s">
        <v>31</v>
      </c>
    </row>
    <row r="20" spans="1:5" x14ac:dyDescent="0.2">
      <c r="A20" t="s">
        <v>48</v>
      </c>
      <c r="B20" t="s">
        <v>18</v>
      </c>
      <c r="C20" t="s">
        <v>31</v>
      </c>
    </row>
    <row r="21" spans="1:5" x14ac:dyDescent="0.2">
      <c r="A21" t="s">
        <v>50</v>
      </c>
      <c r="B21" t="s">
        <v>51</v>
      </c>
      <c r="C21" t="s">
        <v>52</v>
      </c>
      <c r="D21" t="s">
        <v>53</v>
      </c>
      <c r="E21" t="s">
        <v>54</v>
      </c>
    </row>
    <row r="22" spans="1:5" x14ac:dyDescent="0.2">
      <c r="A22" t="s">
        <v>55</v>
      </c>
      <c r="B22" t="s">
        <v>51</v>
      </c>
      <c r="C22" t="s">
        <v>52</v>
      </c>
      <c r="D22" t="s">
        <v>53</v>
      </c>
      <c r="E22" t="s">
        <v>54</v>
      </c>
    </row>
    <row r="23" spans="1:5" x14ac:dyDescent="0.2">
      <c r="A23" t="s">
        <v>56</v>
      </c>
      <c r="B23" t="s">
        <v>51</v>
      </c>
      <c r="C23" t="s">
        <v>52</v>
      </c>
      <c r="D23" t="s">
        <v>53</v>
      </c>
      <c r="E23" t="s">
        <v>54</v>
      </c>
    </row>
    <row r="24" spans="1:5" x14ac:dyDescent="0.2">
      <c r="A24" t="s">
        <v>58</v>
      </c>
      <c r="B24" t="s">
        <v>59</v>
      </c>
      <c r="C24" t="s">
        <v>60</v>
      </c>
      <c r="D24" t="s">
        <v>61</v>
      </c>
    </row>
    <row r="25" spans="1:5" x14ac:dyDescent="0.2">
      <c r="A25" t="s">
        <v>62</v>
      </c>
      <c r="B25" t="s">
        <v>59</v>
      </c>
      <c r="C25" t="s">
        <v>60</v>
      </c>
      <c r="D25" t="s">
        <v>61</v>
      </c>
    </row>
    <row r="26" spans="1:5" x14ac:dyDescent="0.2">
      <c r="A26" t="s">
        <v>64</v>
      </c>
      <c r="B26" t="s">
        <v>65</v>
      </c>
      <c r="C26" t="s">
        <v>66</v>
      </c>
      <c r="D26" t="s">
        <v>67</v>
      </c>
      <c r="E26" t="s">
        <v>68</v>
      </c>
    </row>
    <row r="27" spans="1:5" x14ac:dyDescent="0.2">
      <c r="A27" t="s">
        <v>70</v>
      </c>
      <c r="B27" t="s">
        <v>11</v>
      </c>
      <c r="C27" t="s">
        <v>66</v>
      </c>
      <c r="D27" t="s">
        <v>71</v>
      </c>
      <c r="E27" t="s">
        <v>72</v>
      </c>
    </row>
    <row r="28" spans="1:5" x14ac:dyDescent="0.2">
      <c r="A28" t="s">
        <v>73</v>
      </c>
      <c r="B28" t="s">
        <v>11</v>
      </c>
      <c r="C28" t="s">
        <v>66</v>
      </c>
      <c r="D28" t="s">
        <v>71</v>
      </c>
      <c r="E28" t="s">
        <v>72</v>
      </c>
    </row>
    <row r="29" spans="1:5" x14ac:dyDescent="0.2">
      <c r="A29" t="s">
        <v>75</v>
      </c>
      <c r="B29" t="s">
        <v>76</v>
      </c>
      <c r="C29" t="s">
        <v>51</v>
      </c>
      <c r="D29" t="s">
        <v>77</v>
      </c>
      <c r="E29" t="s">
        <v>78</v>
      </c>
    </row>
    <row r="30" spans="1:5" x14ac:dyDescent="0.2">
      <c r="A30" t="s">
        <v>79</v>
      </c>
      <c r="B30" t="s">
        <v>76</v>
      </c>
      <c r="C30" t="s">
        <v>51</v>
      </c>
      <c r="D30" t="s">
        <v>77</v>
      </c>
      <c r="E30" t="s">
        <v>78</v>
      </c>
    </row>
    <row r="31" spans="1:5" x14ac:dyDescent="0.2">
      <c r="A31" t="s">
        <v>81</v>
      </c>
      <c r="B31" t="s">
        <v>82</v>
      </c>
      <c r="C31" t="s">
        <v>25</v>
      </c>
      <c r="D31" t="s">
        <v>67</v>
      </c>
      <c r="E31" t="s">
        <v>83</v>
      </c>
    </row>
    <row r="32" spans="1:5" x14ac:dyDescent="0.2">
      <c r="A32" t="s">
        <v>84</v>
      </c>
      <c r="B32" t="s">
        <v>82</v>
      </c>
      <c r="C32" t="s">
        <v>25</v>
      </c>
      <c r="D32" t="s">
        <v>67</v>
      </c>
      <c r="E32" t="s">
        <v>83</v>
      </c>
    </row>
    <row r="33" spans="1:5" x14ac:dyDescent="0.2">
      <c r="A33" s="2" t="s">
        <v>86</v>
      </c>
      <c r="B33" s="2" t="s">
        <v>11</v>
      </c>
      <c r="C33" s="2"/>
      <c r="D33" s="2"/>
      <c r="E33" s="2"/>
    </row>
    <row r="34" spans="1:5" x14ac:dyDescent="0.2">
      <c r="A34" s="2" t="s">
        <v>87</v>
      </c>
      <c r="B34" s="2" t="s">
        <v>18</v>
      </c>
      <c r="C34" s="2" t="s">
        <v>31</v>
      </c>
      <c r="D34" s="2"/>
      <c r="E34" s="2"/>
    </row>
    <row r="35" spans="1:5" x14ac:dyDescent="0.2">
      <c r="A35" s="2" t="s">
        <v>88</v>
      </c>
      <c r="B35" s="2" t="s">
        <v>65</v>
      </c>
      <c r="C35" s="2" t="s">
        <v>66</v>
      </c>
      <c r="D35" s="2" t="s">
        <v>67</v>
      </c>
      <c r="E35" s="2" t="s">
        <v>68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F6E0-5660-DB40-B6C7-A98F3137AF83}">
  <dimension ref="A1:W47"/>
  <sheetViews>
    <sheetView zoomScaleNormal="100" workbookViewId="0">
      <selection activeCell="B48" sqref="B48"/>
    </sheetView>
  </sheetViews>
  <sheetFormatPr baseColWidth="10" defaultRowHeight="16" x14ac:dyDescent="0.2"/>
  <cols>
    <col min="1" max="1" width="25.5" bestFit="1" customWidth="1"/>
    <col min="2" max="2" width="61" bestFit="1" customWidth="1"/>
    <col min="3" max="6" width="5.5" bestFit="1" customWidth="1"/>
    <col min="7" max="10" width="9.83203125" bestFit="1" customWidth="1"/>
    <col min="11" max="14" width="5.6640625" bestFit="1" customWidth="1"/>
    <col min="15" max="18" width="6.6640625" bestFit="1" customWidth="1"/>
  </cols>
  <sheetData>
    <row r="1" spans="1:18" x14ac:dyDescent="0.2">
      <c r="A1" s="27" t="s">
        <v>0</v>
      </c>
      <c r="B1" s="27"/>
      <c r="C1" s="27" t="s">
        <v>1</v>
      </c>
      <c r="D1" s="27"/>
      <c r="E1" s="27"/>
      <c r="F1" s="27"/>
      <c r="G1" s="27" t="s">
        <v>2</v>
      </c>
      <c r="H1" s="27"/>
      <c r="I1" s="27"/>
      <c r="J1" s="27"/>
      <c r="K1" s="27" t="s">
        <v>90</v>
      </c>
      <c r="L1" s="27"/>
      <c r="M1" s="27"/>
      <c r="N1" s="27"/>
      <c r="O1" s="27" t="s">
        <v>91</v>
      </c>
      <c r="P1" s="27"/>
      <c r="Q1" s="27"/>
      <c r="R1" s="27"/>
    </row>
    <row r="2" spans="1:18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5</v>
      </c>
      <c r="P2" s="1" t="s">
        <v>6</v>
      </c>
      <c r="Q2" s="1" t="s">
        <v>7</v>
      </c>
      <c r="R2" s="1" t="s">
        <v>8</v>
      </c>
    </row>
    <row r="3" spans="1:18" x14ac:dyDescent="0.2">
      <c r="A3" s="9" t="s">
        <v>9</v>
      </c>
      <c r="B3" t="s">
        <v>10</v>
      </c>
      <c r="C3">
        <v>2024</v>
      </c>
      <c r="G3" t="s">
        <v>11</v>
      </c>
      <c r="K3" s="3">
        <v>0.15918416752297701</v>
      </c>
      <c r="L3" s="3"/>
      <c r="M3" s="3"/>
      <c r="N3" s="3"/>
      <c r="O3" s="3">
        <v>9.0623809999999999E-2</v>
      </c>
      <c r="P3" s="3"/>
      <c r="Q3" s="3"/>
      <c r="R3" s="3"/>
    </row>
    <row r="4" spans="1:18" x14ac:dyDescent="0.2">
      <c r="A4" s="9" t="s">
        <v>9</v>
      </c>
      <c r="B4" t="s">
        <v>12</v>
      </c>
      <c r="C4">
        <v>2024</v>
      </c>
      <c r="G4" t="s">
        <v>11</v>
      </c>
      <c r="K4" s="3">
        <v>0.15918416752297701</v>
      </c>
      <c r="L4" s="3"/>
      <c r="M4" s="3"/>
      <c r="N4" s="3"/>
      <c r="O4" s="3">
        <v>0.29548099999999999</v>
      </c>
      <c r="P4" s="3"/>
      <c r="Q4" s="3"/>
      <c r="R4" s="3"/>
    </row>
    <row r="5" spans="1:18" x14ac:dyDescent="0.2">
      <c r="A5" s="9" t="s">
        <v>9</v>
      </c>
      <c r="B5" t="s">
        <v>13</v>
      </c>
      <c r="C5">
        <v>2024</v>
      </c>
      <c r="G5" t="s">
        <v>11</v>
      </c>
      <c r="K5" s="3">
        <v>0.15918416752297701</v>
      </c>
      <c r="L5" s="3"/>
      <c r="M5" s="3"/>
      <c r="N5" s="3"/>
      <c r="O5" s="3">
        <v>0.45683049999999997</v>
      </c>
      <c r="P5" s="3"/>
      <c r="Q5" s="3"/>
      <c r="R5" s="3"/>
    </row>
    <row r="6" spans="1:18" x14ac:dyDescent="0.2">
      <c r="A6" s="10" t="s">
        <v>14</v>
      </c>
      <c r="B6" t="s">
        <v>15</v>
      </c>
      <c r="C6">
        <v>2024</v>
      </c>
      <c r="G6" t="s">
        <v>11</v>
      </c>
      <c r="K6" s="3">
        <v>1.3653254416148299</v>
      </c>
      <c r="L6" s="3"/>
      <c r="M6" s="3"/>
      <c r="N6" s="3"/>
      <c r="O6" s="3">
        <v>1.0329398999999999</v>
      </c>
      <c r="P6" s="3"/>
      <c r="Q6" s="3"/>
      <c r="R6" s="3"/>
    </row>
    <row r="7" spans="1:18" x14ac:dyDescent="0.2">
      <c r="A7" s="11" t="s">
        <v>16</v>
      </c>
      <c r="B7" t="s">
        <v>17</v>
      </c>
      <c r="C7">
        <v>2023</v>
      </c>
      <c r="G7" t="s">
        <v>18</v>
      </c>
      <c r="K7" s="3">
        <v>0.56211865743001899</v>
      </c>
      <c r="L7" s="3"/>
      <c r="M7" s="3"/>
      <c r="N7" s="3"/>
      <c r="O7" s="3">
        <v>0.44223594999999999</v>
      </c>
      <c r="P7" s="3"/>
      <c r="Q7" s="3"/>
      <c r="R7" s="3"/>
    </row>
    <row r="8" spans="1:18" x14ac:dyDescent="0.2">
      <c r="A8" s="11" t="s">
        <v>16</v>
      </c>
      <c r="B8" t="s">
        <v>19</v>
      </c>
      <c r="C8">
        <v>2023</v>
      </c>
      <c r="G8" t="s">
        <v>18</v>
      </c>
      <c r="K8" s="3">
        <v>0.56211865743001899</v>
      </c>
      <c r="L8" s="3"/>
      <c r="M8" s="3"/>
      <c r="N8" s="3"/>
      <c r="O8" s="3">
        <v>0.60457019999999995</v>
      </c>
      <c r="P8" s="3"/>
      <c r="Q8" s="3"/>
      <c r="R8" s="3"/>
    </row>
    <row r="9" spans="1:18" x14ac:dyDescent="0.2">
      <c r="A9" s="12" t="s">
        <v>20</v>
      </c>
      <c r="B9" t="s">
        <v>21</v>
      </c>
      <c r="C9">
        <v>2017</v>
      </c>
      <c r="G9" t="s">
        <v>22</v>
      </c>
      <c r="K9" s="3">
        <v>0.57081158955894795</v>
      </c>
      <c r="L9" s="3"/>
      <c r="M9" s="3"/>
      <c r="N9" s="3"/>
      <c r="O9" s="3">
        <v>0.586391</v>
      </c>
      <c r="P9" s="3"/>
      <c r="Q9" s="3"/>
      <c r="R9" s="3"/>
    </row>
    <row r="10" spans="1:18" x14ac:dyDescent="0.2">
      <c r="A10" s="13" t="s">
        <v>23</v>
      </c>
      <c r="B10" t="s">
        <v>24</v>
      </c>
      <c r="C10">
        <v>2038</v>
      </c>
      <c r="D10">
        <v>2059</v>
      </c>
      <c r="G10" t="s">
        <v>25</v>
      </c>
      <c r="H10" t="s">
        <v>26</v>
      </c>
      <c r="K10" s="3">
        <v>0.63252829487877804</v>
      </c>
      <c r="L10" s="3">
        <v>1.610914836536</v>
      </c>
      <c r="M10" s="3"/>
      <c r="N10" s="3"/>
      <c r="O10" s="3">
        <v>0.35588681999999999</v>
      </c>
      <c r="P10" s="3">
        <v>1.1164337</v>
      </c>
      <c r="Q10" s="3"/>
      <c r="R10" s="3"/>
    </row>
    <row r="11" spans="1:18" x14ac:dyDescent="0.2">
      <c r="A11" s="13" t="s">
        <v>23</v>
      </c>
      <c r="B11" t="s">
        <v>27</v>
      </c>
      <c r="C11">
        <v>2038</v>
      </c>
      <c r="D11">
        <v>2059</v>
      </c>
      <c r="G11" t="s">
        <v>25</v>
      </c>
      <c r="H11" t="s">
        <v>26</v>
      </c>
      <c r="K11" s="3">
        <v>0.63252829487877804</v>
      </c>
      <c r="L11" s="3">
        <v>1.610914836536</v>
      </c>
      <c r="M11" s="3"/>
      <c r="N11" s="3"/>
      <c r="O11" s="3">
        <v>0.42781787999999998</v>
      </c>
      <c r="P11" s="3">
        <v>1.4269999</v>
      </c>
      <c r="Q11" s="3"/>
      <c r="R11" s="3"/>
    </row>
    <row r="12" spans="1:18" x14ac:dyDescent="0.2">
      <c r="A12" s="13" t="s">
        <v>23</v>
      </c>
      <c r="B12" t="s">
        <v>28</v>
      </c>
      <c r="C12">
        <v>2038</v>
      </c>
      <c r="D12">
        <v>2059</v>
      </c>
      <c r="G12" t="s">
        <v>25</v>
      </c>
      <c r="H12" t="s">
        <v>26</v>
      </c>
      <c r="K12" s="3">
        <v>0.63252829487877804</v>
      </c>
      <c r="L12" s="3">
        <v>1.610914836536</v>
      </c>
      <c r="M12" s="3"/>
      <c r="N12" s="3"/>
      <c r="O12" s="3">
        <v>0.52190990000000004</v>
      </c>
      <c r="P12" s="3">
        <v>1.4629586999999999</v>
      </c>
      <c r="Q12" s="3"/>
      <c r="R12" s="3"/>
    </row>
    <row r="13" spans="1:18" x14ac:dyDescent="0.2">
      <c r="A13" s="14" t="s">
        <v>29</v>
      </c>
      <c r="B13" t="s">
        <v>30</v>
      </c>
      <c r="C13">
        <v>2023</v>
      </c>
      <c r="D13">
        <v>2045</v>
      </c>
      <c r="G13" t="s">
        <v>18</v>
      </c>
      <c r="H13" t="s">
        <v>31</v>
      </c>
      <c r="K13" s="3">
        <v>0.37880875913762102</v>
      </c>
      <c r="L13" s="3">
        <v>0.86234560615966405</v>
      </c>
      <c r="M13" s="3"/>
      <c r="N13" s="3"/>
      <c r="O13" s="3">
        <v>0.38333833</v>
      </c>
      <c r="P13" s="3">
        <v>0.77936709999999998</v>
      </c>
      <c r="Q13" s="3"/>
      <c r="R13" s="3"/>
    </row>
    <row r="14" spans="1:18" x14ac:dyDescent="0.2">
      <c r="A14" s="14" t="s">
        <v>29</v>
      </c>
      <c r="B14" t="s">
        <v>32</v>
      </c>
      <c r="C14">
        <v>2023</v>
      </c>
      <c r="D14">
        <v>2045</v>
      </c>
      <c r="G14" t="s">
        <v>18</v>
      </c>
      <c r="H14" t="s">
        <v>31</v>
      </c>
      <c r="K14" s="3">
        <v>0.37880875913762102</v>
      </c>
      <c r="L14" s="3">
        <v>0.86234560615966405</v>
      </c>
      <c r="M14" s="3"/>
      <c r="N14" s="3"/>
      <c r="O14" s="3">
        <v>0.48546289999999997</v>
      </c>
      <c r="P14" s="3">
        <v>1.1440437999999999</v>
      </c>
      <c r="Q14" s="3"/>
      <c r="R14" s="3"/>
    </row>
    <row r="15" spans="1:18" x14ac:dyDescent="0.2">
      <c r="A15" s="15" t="s">
        <v>33</v>
      </c>
      <c r="B15" t="s">
        <v>34</v>
      </c>
      <c r="C15">
        <v>2023</v>
      </c>
      <c r="D15">
        <v>2045</v>
      </c>
      <c r="G15" t="s">
        <v>18</v>
      </c>
      <c r="H15" t="s">
        <v>31</v>
      </c>
      <c r="K15" s="3">
        <v>0.457424211517724</v>
      </c>
      <c r="L15" s="3">
        <v>0.62479549838627901</v>
      </c>
      <c r="M15" s="3"/>
      <c r="N15" s="3"/>
      <c r="O15" s="3">
        <v>0.56741010000000003</v>
      </c>
      <c r="P15" s="3">
        <v>0.83607894000000005</v>
      </c>
      <c r="Q15" s="3"/>
      <c r="R15" s="3"/>
    </row>
    <row r="16" spans="1:18" x14ac:dyDescent="0.2">
      <c r="A16" s="16" t="s">
        <v>35</v>
      </c>
      <c r="B16" t="s">
        <v>36</v>
      </c>
      <c r="C16">
        <v>2029</v>
      </c>
      <c r="D16">
        <v>2044</v>
      </c>
      <c r="E16">
        <v>2079</v>
      </c>
      <c r="G16" t="s">
        <v>37</v>
      </c>
      <c r="H16" t="s">
        <v>38</v>
      </c>
      <c r="I16" t="s">
        <v>39</v>
      </c>
      <c r="K16" s="3">
        <v>1.28844432176343</v>
      </c>
      <c r="L16" s="3">
        <v>1.99852194768752</v>
      </c>
      <c r="M16" s="3">
        <v>2.8577991666382299</v>
      </c>
      <c r="N16" s="3"/>
      <c r="O16" s="3">
        <v>0.96591585999999996</v>
      </c>
      <c r="P16" s="3">
        <v>1.6673487</v>
      </c>
      <c r="Q16" s="3">
        <v>2.4161831999999999</v>
      </c>
      <c r="R16" s="3"/>
    </row>
    <row r="17" spans="1:23" x14ac:dyDescent="0.2">
      <c r="A17" s="16" t="s">
        <v>35</v>
      </c>
      <c r="B17" t="s">
        <v>40</v>
      </c>
      <c r="C17">
        <v>2029</v>
      </c>
      <c r="D17">
        <v>2044</v>
      </c>
      <c r="E17">
        <v>2079</v>
      </c>
      <c r="G17" t="s">
        <v>37</v>
      </c>
      <c r="H17" t="s">
        <v>38</v>
      </c>
      <c r="I17" t="s">
        <v>39</v>
      </c>
      <c r="K17" s="3">
        <v>1.28844432176343</v>
      </c>
      <c r="L17" s="3">
        <v>1.99852194768752</v>
      </c>
      <c r="M17" s="3">
        <v>2.8577991666382299</v>
      </c>
      <c r="N17" s="3"/>
      <c r="O17" s="3">
        <v>0.97880469999999997</v>
      </c>
      <c r="P17" s="3">
        <v>1.4296597</v>
      </c>
      <c r="Q17" s="3">
        <v>2.5177238000000002</v>
      </c>
      <c r="R17" s="3"/>
    </row>
    <row r="18" spans="1:23" x14ac:dyDescent="0.2">
      <c r="A18" s="17" t="s">
        <v>41</v>
      </c>
      <c r="B18" t="s">
        <v>42</v>
      </c>
      <c r="C18">
        <v>2017</v>
      </c>
      <c r="D18">
        <v>2034</v>
      </c>
      <c r="E18">
        <v>2078</v>
      </c>
      <c r="G18" t="s">
        <v>22</v>
      </c>
      <c r="H18" t="s">
        <v>43</v>
      </c>
      <c r="I18" t="s">
        <v>44</v>
      </c>
      <c r="K18" s="3">
        <v>0.36612952992296299</v>
      </c>
      <c r="L18" s="3">
        <v>0.83404442313203897</v>
      </c>
      <c r="M18" s="3">
        <v>2.1307141433336501</v>
      </c>
      <c r="N18" s="3"/>
      <c r="O18" s="3">
        <v>0.18303112999999999</v>
      </c>
      <c r="P18" s="3">
        <v>0.70583885999999996</v>
      </c>
      <c r="Q18" s="3">
        <v>1.762397</v>
      </c>
      <c r="R18" s="3"/>
    </row>
    <row r="19" spans="1:23" x14ac:dyDescent="0.2">
      <c r="A19" s="17" t="s">
        <v>41</v>
      </c>
      <c r="B19" t="s">
        <v>45</v>
      </c>
      <c r="C19">
        <v>2017</v>
      </c>
      <c r="D19">
        <v>2034</v>
      </c>
      <c r="E19">
        <v>2078</v>
      </c>
      <c r="G19" t="s">
        <v>22</v>
      </c>
      <c r="H19" t="s">
        <v>43</v>
      </c>
      <c r="I19" t="s">
        <v>44</v>
      </c>
      <c r="K19" s="3">
        <v>0.36612952992296299</v>
      </c>
      <c r="L19" s="3">
        <v>0.83404442313203897</v>
      </c>
      <c r="M19" s="3">
        <v>2.1307141433336501</v>
      </c>
      <c r="N19" s="3"/>
      <c r="O19" s="3">
        <v>0.35165386999999998</v>
      </c>
      <c r="P19" s="3">
        <v>0.74572194000000003</v>
      </c>
      <c r="Q19" s="3">
        <v>2.1931251999999999</v>
      </c>
      <c r="R19" s="3"/>
    </row>
    <row r="20" spans="1:23" x14ac:dyDescent="0.2">
      <c r="A20" s="18" t="s">
        <v>46</v>
      </c>
      <c r="B20" t="s">
        <v>47</v>
      </c>
      <c r="C20">
        <v>2023</v>
      </c>
      <c r="D20">
        <v>2045</v>
      </c>
      <c r="G20" t="s">
        <v>18</v>
      </c>
      <c r="H20" t="s">
        <v>31</v>
      </c>
      <c r="K20" s="3">
        <v>0.27052468193900803</v>
      </c>
      <c r="L20" s="3">
        <v>0.99868554009331101</v>
      </c>
      <c r="M20" s="3"/>
      <c r="N20" s="3"/>
      <c r="O20" s="3">
        <v>0.17434321</v>
      </c>
      <c r="P20" s="3">
        <v>0.79325056000000005</v>
      </c>
      <c r="Q20" s="3"/>
      <c r="R20" s="3"/>
    </row>
    <row r="21" spans="1:23" x14ac:dyDescent="0.2">
      <c r="A21" s="18" t="s">
        <v>46</v>
      </c>
      <c r="B21" t="s">
        <v>48</v>
      </c>
      <c r="C21">
        <v>2023</v>
      </c>
      <c r="D21">
        <v>2045</v>
      </c>
      <c r="G21" t="s">
        <v>18</v>
      </c>
      <c r="H21" t="s">
        <v>31</v>
      </c>
      <c r="K21" s="3">
        <v>0.27052468193900803</v>
      </c>
      <c r="L21" s="3">
        <v>0.99868554009331101</v>
      </c>
      <c r="M21" s="3"/>
      <c r="N21" s="3"/>
      <c r="O21" s="3">
        <v>0.26283157000000001</v>
      </c>
      <c r="P21" s="3">
        <v>1.0605827999999999</v>
      </c>
      <c r="Q21" s="3"/>
      <c r="R21" s="3"/>
    </row>
    <row r="22" spans="1:23" x14ac:dyDescent="0.2">
      <c r="A22" s="19" t="s">
        <v>49</v>
      </c>
      <c r="B22" t="s">
        <v>50</v>
      </c>
      <c r="C22">
        <v>2031</v>
      </c>
      <c r="D22">
        <v>2046</v>
      </c>
      <c r="E22">
        <v>2068</v>
      </c>
      <c r="F22">
        <v>2088</v>
      </c>
      <c r="G22" t="s">
        <v>51</v>
      </c>
      <c r="H22" t="s">
        <v>52</v>
      </c>
      <c r="I22" t="s">
        <v>53</v>
      </c>
      <c r="J22" t="s">
        <v>54</v>
      </c>
      <c r="K22" s="3">
        <v>0.80631215971271497</v>
      </c>
      <c r="L22" s="3">
        <v>1.5717548309150999</v>
      </c>
      <c r="M22" s="3">
        <v>2.6047206391182098</v>
      </c>
      <c r="N22" s="3">
        <v>3.8460715047062499</v>
      </c>
      <c r="O22" s="3">
        <v>0.50512855999999995</v>
      </c>
      <c r="P22" s="3">
        <v>1.0469978</v>
      </c>
      <c r="Q22" s="3">
        <v>2.019355</v>
      </c>
      <c r="R22" s="3">
        <v>3.0102582</v>
      </c>
      <c r="W22" s="3"/>
    </row>
    <row r="23" spans="1:23" x14ac:dyDescent="0.2">
      <c r="A23" s="19" t="s">
        <v>49</v>
      </c>
      <c r="B23" t="s">
        <v>55</v>
      </c>
      <c r="C23">
        <v>2031</v>
      </c>
      <c r="D23">
        <v>2046</v>
      </c>
      <c r="E23">
        <v>2068</v>
      </c>
      <c r="F23">
        <v>2088</v>
      </c>
      <c r="G23" t="s">
        <v>51</v>
      </c>
      <c r="H23" t="s">
        <v>52</v>
      </c>
      <c r="I23" t="s">
        <v>53</v>
      </c>
      <c r="J23" t="s">
        <v>54</v>
      </c>
      <c r="K23" s="3">
        <v>0.80631215971271497</v>
      </c>
      <c r="L23" s="3">
        <v>1.5717548309150999</v>
      </c>
      <c r="M23" s="3">
        <v>2.6047206391182098</v>
      </c>
      <c r="N23" s="3">
        <v>3.8460715047062499</v>
      </c>
      <c r="O23" s="3">
        <v>0.78271276000000001</v>
      </c>
      <c r="P23" s="3">
        <v>1.2177255</v>
      </c>
      <c r="Q23" s="3">
        <v>2.6094992000000001</v>
      </c>
      <c r="R23" s="3">
        <v>3.5986015999999998</v>
      </c>
      <c r="W23" s="3"/>
    </row>
    <row r="24" spans="1:23" x14ac:dyDescent="0.2">
      <c r="A24" s="19" t="s">
        <v>49</v>
      </c>
      <c r="B24" t="s">
        <v>56</v>
      </c>
      <c r="C24">
        <v>2031</v>
      </c>
      <c r="D24">
        <v>2046</v>
      </c>
      <c r="E24">
        <v>2068</v>
      </c>
      <c r="F24">
        <v>2088</v>
      </c>
      <c r="G24" t="s">
        <v>51</v>
      </c>
      <c r="H24" t="s">
        <v>52</v>
      </c>
      <c r="I24" t="s">
        <v>53</v>
      </c>
      <c r="J24" t="s">
        <v>54</v>
      </c>
      <c r="K24" s="3">
        <v>0.80631215971271497</v>
      </c>
      <c r="L24" s="3">
        <v>1.5717548309150999</v>
      </c>
      <c r="M24" s="3">
        <v>2.6047206391182098</v>
      </c>
      <c r="N24" s="3">
        <v>3.8460715047062499</v>
      </c>
      <c r="O24" s="3">
        <v>0.79933995000000002</v>
      </c>
      <c r="P24" s="3">
        <v>1.4378808999999999</v>
      </c>
      <c r="Q24" s="3">
        <v>2.7811110000000001</v>
      </c>
      <c r="R24" s="3">
        <v>3.9668462</v>
      </c>
    </row>
    <row r="25" spans="1:23" x14ac:dyDescent="0.2">
      <c r="A25" s="9" t="s">
        <v>57</v>
      </c>
      <c r="B25" t="s">
        <v>58</v>
      </c>
      <c r="C25">
        <v>2019</v>
      </c>
      <c r="D25">
        <v>2035</v>
      </c>
      <c r="E25">
        <v>2061</v>
      </c>
      <c r="G25" t="s">
        <v>59</v>
      </c>
      <c r="H25" t="s">
        <v>60</v>
      </c>
      <c r="I25" t="s">
        <v>61</v>
      </c>
      <c r="K25" s="3">
        <v>0.32010671893003101</v>
      </c>
      <c r="L25" s="3">
        <v>0.94183442623305202</v>
      </c>
      <c r="M25" s="3">
        <v>1.93926760911421</v>
      </c>
      <c r="N25" s="3"/>
      <c r="O25" s="3">
        <v>0.23519899999999999</v>
      </c>
      <c r="P25" s="3">
        <v>0.70149916000000001</v>
      </c>
      <c r="Q25" s="3">
        <v>1.7608200000000001</v>
      </c>
      <c r="R25" s="3"/>
      <c r="W25" s="3"/>
    </row>
    <row r="26" spans="1:23" x14ac:dyDescent="0.2">
      <c r="A26" s="9" t="s">
        <v>57</v>
      </c>
      <c r="B26" t="s">
        <v>62</v>
      </c>
      <c r="C26">
        <v>2019</v>
      </c>
      <c r="D26">
        <v>2035</v>
      </c>
      <c r="E26">
        <v>2061</v>
      </c>
      <c r="G26" t="s">
        <v>59</v>
      </c>
      <c r="H26" t="s">
        <v>60</v>
      </c>
      <c r="I26" t="s">
        <v>61</v>
      </c>
      <c r="K26" s="3">
        <v>0.32010671893003101</v>
      </c>
      <c r="L26" s="3">
        <v>0.94183442623305202</v>
      </c>
      <c r="M26" s="3">
        <v>1.93926760911421</v>
      </c>
      <c r="N26" s="3"/>
      <c r="O26" s="3">
        <v>0.43507950000000001</v>
      </c>
      <c r="P26" s="3">
        <v>1.2004429999999999</v>
      </c>
      <c r="Q26" s="3">
        <v>2.6340458</v>
      </c>
      <c r="R26" s="3"/>
    </row>
    <row r="27" spans="1:23" x14ac:dyDescent="0.2">
      <c r="A27" s="20" t="s">
        <v>63</v>
      </c>
      <c r="B27" t="s">
        <v>64</v>
      </c>
      <c r="C27">
        <v>2020</v>
      </c>
      <c r="D27">
        <v>2036</v>
      </c>
      <c r="E27">
        <v>2062</v>
      </c>
      <c r="F27">
        <v>2083</v>
      </c>
      <c r="G27" t="s">
        <v>65</v>
      </c>
      <c r="H27" t="s">
        <v>66</v>
      </c>
      <c r="I27" t="s">
        <v>67</v>
      </c>
      <c r="J27" t="s">
        <v>68</v>
      </c>
      <c r="K27" s="3">
        <v>0.33111575072592803</v>
      </c>
      <c r="L27" s="3">
        <v>0.90064316589890403</v>
      </c>
      <c r="M27" s="3">
        <v>1.5027791696181101</v>
      </c>
      <c r="N27" s="3">
        <v>2.9187363127111499</v>
      </c>
      <c r="O27" s="3">
        <v>0.50606775000000004</v>
      </c>
      <c r="P27" s="3">
        <v>0.98450917000000004</v>
      </c>
      <c r="Q27" s="3">
        <v>1.5260384</v>
      </c>
      <c r="R27" s="3">
        <v>3.250985</v>
      </c>
    </row>
    <row r="28" spans="1:23" x14ac:dyDescent="0.2">
      <c r="A28" s="2" t="s">
        <v>69</v>
      </c>
      <c r="B28" t="s">
        <v>70</v>
      </c>
      <c r="C28">
        <v>2024</v>
      </c>
      <c r="D28">
        <v>2036</v>
      </c>
      <c r="E28">
        <v>2055</v>
      </c>
      <c r="F28">
        <v>2072</v>
      </c>
      <c r="G28" t="s">
        <v>11</v>
      </c>
      <c r="H28" t="s">
        <v>66</v>
      </c>
      <c r="I28" t="s">
        <v>71</v>
      </c>
      <c r="J28" t="s">
        <v>72</v>
      </c>
      <c r="K28" s="3">
        <v>1.2518766969956201</v>
      </c>
      <c r="L28" s="3">
        <v>1.65339945881786</v>
      </c>
      <c r="M28" s="3">
        <v>2.85472428786268</v>
      </c>
      <c r="N28" s="3">
        <v>4.2617375100454602</v>
      </c>
      <c r="O28" s="3">
        <v>0.97386439999999996</v>
      </c>
      <c r="P28" s="3">
        <v>1.3713690999999999</v>
      </c>
      <c r="Q28" s="3">
        <v>2.4136199999999999</v>
      </c>
      <c r="R28" s="3">
        <v>3.6632657000000002</v>
      </c>
    </row>
    <row r="29" spans="1:23" x14ac:dyDescent="0.2">
      <c r="A29" s="2" t="s">
        <v>69</v>
      </c>
      <c r="B29" t="s">
        <v>73</v>
      </c>
      <c r="C29">
        <v>2024</v>
      </c>
      <c r="D29">
        <v>2036</v>
      </c>
      <c r="E29">
        <v>2055</v>
      </c>
      <c r="F29">
        <v>2072</v>
      </c>
      <c r="G29" t="s">
        <v>11</v>
      </c>
      <c r="H29" t="s">
        <v>66</v>
      </c>
      <c r="I29" t="s">
        <v>71</v>
      </c>
      <c r="J29" t="s">
        <v>72</v>
      </c>
      <c r="K29" s="3">
        <v>1.2518766969956201</v>
      </c>
      <c r="L29" s="3">
        <v>1.65339945881786</v>
      </c>
      <c r="M29" s="3">
        <v>2.85472428786268</v>
      </c>
      <c r="N29" s="3">
        <v>4.2617375100454602</v>
      </c>
      <c r="O29" s="3">
        <v>0.98836630000000003</v>
      </c>
      <c r="P29" s="3">
        <v>1.2717835</v>
      </c>
      <c r="Q29" s="3">
        <v>2.2678582999999999</v>
      </c>
      <c r="R29" s="3">
        <v>3.5443655999999999</v>
      </c>
    </row>
    <row r="30" spans="1:23" x14ac:dyDescent="0.2">
      <c r="A30" s="21" t="s">
        <v>74</v>
      </c>
      <c r="B30" t="s">
        <v>75</v>
      </c>
      <c r="C30">
        <v>2016</v>
      </c>
      <c r="D30">
        <v>2031</v>
      </c>
      <c r="E30">
        <v>2051</v>
      </c>
      <c r="F30">
        <v>2067</v>
      </c>
      <c r="G30" t="s">
        <v>76</v>
      </c>
      <c r="H30" t="s">
        <v>51</v>
      </c>
      <c r="I30" t="s">
        <v>77</v>
      </c>
      <c r="J30" t="s">
        <v>78</v>
      </c>
      <c r="K30" s="3">
        <v>0.45625948782276199</v>
      </c>
      <c r="L30" s="3">
        <v>0.70197696001481202</v>
      </c>
      <c r="M30" s="3">
        <v>2.0070241649878402</v>
      </c>
      <c r="N30" s="3">
        <v>3.2069946275303298</v>
      </c>
      <c r="O30" s="3">
        <v>0.40934577999999999</v>
      </c>
      <c r="P30" s="3">
        <v>0.16441785</v>
      </c>
      <c r="Q30" s="3">
        <v>0.91975899999999999</v>
      </c>
      <c r="R30" s="3">
        <v>2.1218149999999998</v>
      </c>
    </row>
    <row r="31" spans="1:23" x14ac:dyDescent="0.2">
      <c r="A31" s="21" t="s">
        <v>74</v>
      </c>
      <c r="B31" t="s">
        <v>79</v>
      </c>
      <c r="C31">
        <v>2016</v>
      </c>
      <c r="D31">
        <v>2031</v>
      </c>
      <c r="E31">
        <v>2051</v>
      </c>
      <c r="F31">
        <v>2067</v>
      </c>
      <c r="G31" t="s">
        <v>76</v>
      </c>
      <c r="H31" t="s">
        <v>51</v>
      </c>
      <c r="I31" t="s">
        <v>77</v>
      </c>
      <c r="J31" t="s">
        <v>78</v>
      </c>
      <c r="K31" s="3">
        <v>0.45625948782276199</v>
      </c>
      <c r="L31" s="3">
        <v>0.70197696001481202</v>
      </c>
      <c r="M31" s="3">
        <v>2.0070241649878402</v>
      </c>
      <c r="N31" s="3">
        <v>3.2069946275303298</v>
      </c>
      <c r="O31" s="3">
        <v>0.48655366999999999</v>
      </c>
      <c r="P31" s="3">
        <v>0.69433429999999996</v>
      </c>
      <c r="Q31" s="3">
        <v>2.0894370000000002</v>
      </c>
      <c r="R31" s="3">
        <v>3.1780202000000002</v>
      </c>
    </row>
    <row r="32" spans="1:23" x14ac:dyDescent="0.2">
      <c r="A32" s="22" t="s">
        <v>80</v>
      </c>
      <c r="B32" t="s">
        <v>81</v>
      </c>
      <c r="C32">
        <v>2018</v>
      </c>
      <c r="D32">
        <v>2038</v>
      </c>
      <c r="E32">
        <v>2062</v>
      </c>
      <c r="F32">
        <v>2082</v>
      </c>
      <c r="G32" t="s">
        <v>82</v>
      </c>
      <c r="H32" t="s">
        <v>25</v>
      </c>
      <c r="I32" t="s">
        <v>67</v>
      </c>
      <c r="J32" t="s">
        <v>83</v>
      </c>
      <c r="K32" s="3">
        <v>0.28053309122718101</v>
      </c>
      <c r="L32" s="3">
        <v>0.89448763529455499</v>
      </c>
      <c r="M32" s="3">
        <v>2.13368631998694</v>
      </c>
      <c r="N32" s="3">
        <v>3.25464655558264</v>
      </c>
      <c r="O32" s="3">
        <v>0.29101974000000003</v>
      </c>
      <c r="P32" s="3">
        <v>0.7321299</v>
      </c>
      <c r="Q32" s="3">
        <v>1.7708900999999999</v>
      </c>
      <c r="R32" s="3">
        <v>2.7940573999999998</v>
      </c>
    </row>
    <row r="33" spans="1:18" x14ac:dyDescent="0.2">
      <c r="A33" s="22" t="s">
        <v>80</v>
      </c>
      <c r="B33" t="s">
        <v>84</v>
      </c>
      <c r="C33">
        <v>2018</v>
      </c>
      <c r="D33">
        <v>2038</v>
      </c>
      <c r="E33">
        <v>2062</v>
      </c>
      <c r="F33">
        <v>2082</v>
      </c>
      <c r="G33" t="s">
        <v>82</v>
      </c>
      <c r="H33" t="s">
        <v>25</v>
      </c>
      <c r="I33" t="s">
        <v>67</v>
      </c>
      <c r="J33" t="s">
        <v>83</v>
      </c>
      <c r="K33" s="3">
        <v>0.28053309122718101</v>
      </c>
      <c r="L33" s="3">
        <v>0.89448763529455499</v>
      </c>
      <c r="M33" s="3">
        <v>2.13368631998694</v>
      </c>
      <c r="N33" s="3">
        <v>3.25464655558264</v>
      </c>
      <c r="O33" s="3">
        <v>0.25983200000000001</v>
      </c>
      <c r="P33" s="3">
        <v>0.86645360000000005</v>
      </c>
      <c r="Q33" s="3">
        <v>2.1349062999999999</v>
      </c>
      <c r="R33" s="3">
        <v>3.4961212000000002</v>
      </c>
    </row>
    <row r="35" spans="1:18" x14ac:dyDescent="0.2">
      <c r="C35" s="27" t="s">
        <v>89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 spans="1:18" x14ac:dyDescent="0.2">
      <c r="C36" s="24" t="s">
        <v>1</v>
      </c>
      <c r="D36" s="25"/>
      <c r="E36" s="25"/>
      <c r="F36" s="26"/>
      <c r="G36" s="24" t="s">
        <v>2</v>
      </c>
      <c r="H36" s="25"/>
      <c r="I36" s="25"/>
      <c r="J36" s="26"/>
      <c r="K36" s="24" t="s">
        <v>90</v>
      </c>
      <c r="L36" s="25"/>
      <c r="M36" s="25"/>
      <c r="N36" s="26"/>
      <c r="O36" s="27" t="s">
        <v>91</v>
      </c>
      <c r="P36" s="27"/>
      <c r="Q36" s="27"/>
      <c r="R36" s="27"/>
    </row>
    <row r="37" spans="1:18" x14ac:dyDescent="0.2">
      <c r="C37" s="1" t="s">
        <v>5</v>
      </c>
      <c r="D37" s="1" t="s">
        <v>6</v>
      </c>
      <c r="E37" s="1" t="s">
        <v>7</v>
      </c>
      <c r="F37" s="1" t="s">
        <v>8</v>
      </c>
      <c r="G37" s="1" t="s">
        <v>5</v>
      </c>
      <c r="H37" s="1" t="s">
        <v>6</v>
      </c>
      <c r="I37" s="1" t="s">
        <v>7</v>
      </c>
      <c r="J37" s="1" t="s">
        <v>8</v>
      </c>
      <c r="K37" s="1" t="s">
        <v>5</v>
      </c>
      <c r="L37" s="1" t="s">
        <v>6</v>
      </c>
      <c r="M37" s="1" t="s">
        <v>7</v>
      </c>
      <c r="N37" s="1" t="s">
        <v>8</v>
      </c>
      <c r="O37" s="1" t="s">
        <v>5</v>
      </c>
      <c r="P37" s="1" t="s">
        <v>6</v>
      </c>
      <c r="Q37" s="1" t="s">
        <v>7</v>
      </c>
      <c r="R37" s="1" t="s">
        <v>8</v>
      </c>
    </row>
    <row r="38" spans="1:18" x14ac:dyDescent="0.2">
      <c r="A38" s="2" t="s">
        <v>85</v>
      </c>
      <c r="B38" s="2" t="s">
        <v>86</v>
      </c>
      <c r="C38" s="2">
        <v>2024</v>
      </c>
      <c r="D38" s="2"/>
      <c r="E38" s="2"/>
      <c r="F38" s="2"/>
      <c r="G38" s="2" t="s">
        <v>11</v>
      </c>
      <c r="H38" s="2"/>
      <c r="I38" s="2"/>
      <c r="J38" s="2"/>
      <c r="K38" s="4">
        <v>0.15918416752297701</v>
      </c>
      <c r="L38" s="4"/>
      <c r="M38" s="4"/>
      <c r="N38" s="4"/>
      <c r="O38" s="4">
        <v>-1.7072296142577815E-2</v>
      </c>
      <c r="P38" s="4"/>
      <c r="Q38" s="4"/>
      <c r="R38" s="4"/>
    </row>
    <row r="39" spans="1:18" x14ac:dyDescent="0.2">
      <c r="A39" s="2" t="s">
        <v>85</v>
      </c>
      <c r="B39" s="2" t="s">
        <v>87</v>
      </c>
      <c r="C39" s="2">
        <v>2023</v>
      </c>
      <c r="D39" s="2">
        <v>2045</v>
      </c>
      <c r="E39" s="2"/>
      <c r="F39" s="2"/>
      <c r="G39" s="2" t="s">
        <v>18</v>
      </c>
      <c r="H39" s="2" t="s">
        <v>31</v>
      </c>
      <c r="I39" s="2"/>
      <c r="J39" s="2"/>
      <c r="K39" s="4">
        <v>0.457424211517724</v>
      </c>
      <c r="L39" s="4">
        <v>0.62479549838627901</v>
      </c>
      <c r="M39" s="4"/>
      <c r="N39" s="4"/>
      <c r="O39" s="4">
        <v>0.27099742889404221</v>
      </c>
      <c r="P39" s="4">
        <v>1.1271691322326629</v>
      </c>
      <c r="Q39" s="4"/>
      <c r="R39" s="4"/>
    </row>
    <row r="40" spans="1:18" x14ac:dyDescent="0.2">
      <c r="A40" s="2" t="s">
        <v>85</v>
      </c>
      <c r="B40" s="2" t="s">
        <v>88</v>
      </c>
      <c r="C40" s="2">
        <v>2020</v>
      </c>
      <c r="D40" s="2">
        <v>2036</v>
      </c>
      <c r="E40" s="2">
        <v>2062</v>
      </c>
      <c r="F40" s="2">
        <v>2083</v>
      </c>
      <c r="G40" s="2" t="s">
        <v>65</v>
      </c>
      <c r="H40" s="2" t="s">
        <v>66</v>
      </c>
      <c r="I40" s="2" t="s">
        <v>67</v>
      </c>
      <c r="J40" s="2" t="s">
        <v>68</v>
      </c>
      <c r="K40" s="4">
        <v>0.33111575072592803</v>
      </c>
      <c r="L40" s="4">
        <v>0.90064316589890403</v>
      </c>
      <c r="M40" s="4">
        <v>1.5027791696181101</v>
      </c>
      <c r="N40" s="4">
        <v>2.9187363127111499</v>
      </c>
      <c r="O40" s="4">
        <v>0.51821467876434135</v>
      </c>
      <c r="P40" s="4">
        <v>1.0004473920000001</v>
      </c>
      <c r="Q40" s="4">
        <v>1.7846617221832237</v>
      </c>
      <c r="R40" s="4">
        <v>2.8433244229999999</v>
      </c>
    </row>
    <row r="47" spans="1:18" x14ac:dyDescent="0.2">
      <c r="P47" s="6"/>
    </row>
  </sheetData>
  <mergeCells count="10">
    <mergeCell ref="C36:F36"/>
    <mergeCell ref="G36:J36"/>
    <mergeCell ref="K36:N36"/>
    <mergeCell ref="O36:R36"/>
    <mergeCell ref="A1:B1"/>
    <mergeCell ref="C1:F1"/>
    <mergeCell ref="G1:J1"/>
    <mergeCell ref="K1:N1"/>
    <mergeCell ref="O1:R1"/>
    <mergeCell ref="C35:N3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FF9F4-B226-9647-AD50-6CC7A16F8CCA}">
  <dimension ref="A1:BE103"/>
  <sheetViews>
    <sheetView tabSelected="1" topLeftCell="AG24" zoomScale="85" zoomScaleNormal="85" workbookViewId="0">
      <selection activeCell="AI48" sqref="AI48:AT82"/>
    </sheetView>
  </sheetViews>
  <sheetFormatPr baseColWidth="10" defaultRowHeight="16" x14ac:dyDescent="0.2"/>
  <cols>
    <col min="1" max="1" width="12.6640625" style="3" bestFit="1" customWidth="1"/>
    <col min="2" max="2" width="13.83203125" style="3" bestFit="1" customWidth="1"/>
    <col min="12" max="12" width="62.33203125" bestFit="1" customWidth="1"/>
    <col min="18" max="18" width="11.5" customWidth="1"/>
    <col min="19" max="19" width="10.83203125" customWidth="1"/>
    <col min="20" max="20" width="10.1640625" customWidth="1"/>
    <col min="21" max="21" width="12.83203125" customWidth="1"/>
    <col min="24" max="24" width="56.83203125" bestFit="1" customWidth="1"/>
    <col min="35" max="35" width="61" bestFit="1" customWidth="1"/>
    <col min="41" max="41" width="5.5" bestFit="1" customWidth="1"/>
    <col min="52" max="52" width="8.6640625" customWidth="1"/>
    <col min="53" max="53" width="6.5" customWidth="1"/>
    <col min="54" max="55" width="7.5" customWidth="1"/>
  </cols>
  <sheetData>
    <row r="1" spans="1:57" x14ac:dyDescent="0.2">
      <c r="A1" s="1" t="s">
        <v>92</v>
      </c>
      <c r="B1" s="1" t="s">
        <v>93</v>
      </c>
      <c r="C1" s="1"/>
      <c r="D1" s="1" t="s">
        <v>93</v>
      </c>
      <c r="E1" s="1"/>
      <c r="F1" s="1"/>
      <c r="G1" s="1"/>
      <c r="H1" s="1"/>
      <c r="L1" s="28" t="s">
        <v>133</v>
      </c>
      <c r="M1" s="28"/>
      <c r="N1" s="28"/>
      <c r="O1" s="28"/>
      <c r="P1" s="28"/>
      <c r="R1" s="28" t="s">
        <v>134</v>
      </c>
      <c r="S1" s="28"/>
      <c r="T1" s="28"/>
      <c r="U1" s="28"/>
      <c r="AJ1" s="29" t="s">
        <v>146</v>
      </c>
      <c r="AK1" s="29"/>
      <c r="AL1" s="29"/>
      <c r="AM1" s="29"/>
      <c r="AO1" s="28" t="s">
        <v>136</v>
      </c>
      <c r="AP1" s="28"/>
      <c r="AQ1" s="28"/>
      <c r="AR1" s="28"/>
      <c r="AS1" s="28"/>
      <c r="AU1" s="29" t="s">
        <v>148</v>
      </c>
      <c r="AV1" s="29"/>
      <c r="AW1" s="29"/>
      <c r="AX1" s="29"/>
      <c r="BB1" t="s">
        <v>148</v>
      </c>
    </row>
    <row r="2" spans="1:57" x14ac:dyDescent="0.2">
      <c r="A2" s="5" t="s">
        <v>94</v>
      </c>
      <c r="B2" s="5" t="s">
        <v>94</v>
      </c>
      <c r="C2" s="1"/>
      <c r="D2" s="1" t="s">
        <v>95</v>
      </c>
      <c r="E2" s="1" t="s">
        <v>96</v>
      </c>
      <c r="F2" s="1" t="s">
        <v>97</v>
      </c>
      <c r="G2" s="1">
        <v>1.5</v>
      </c>
      <c r="H2" s="1">
        <v>2</v>
      </c>
      <c r="I2" s="8">
        <v>3</v>
      </c>
      <c r="J2" s="7">
        <v>4</v>
      </c>
      <c r="L2" t="s">
        <v>98</v>
      </c>
      <c r="M2" s="8">
        <v>1.5</v>
      </c>
      <c r="N2" s="8">
        <v>2</v>
      </c>
      <c r="O2" s="8">
        <v>3</v>
      </c>
      <c r="P2" s="8">
        <v>4</v>
      </c>
      <c r="R2" s="8">
        <v>1.5</v>
      </c>
      <c r="S2" s="8">
        <v>2</v>
      </c>
      <c r="T2" s="8">
        <v>3</v>
      </c>
      <c r="U2" s="8">
        <v>4</v>
      </c>
      <c r="Z2" s="8" t="s">
        <v>138</v>
      </c>
      <c r="AA2" s="8" t="s">
        <v>139</v>
      </c>
      <c r="AB2" s="8" t="s">
        <v>140</v>
      </c>
      <c r="AC2" s="8" t="s">
        <v>141</v>
      </c>
      <c r="AD2" s="8" t="s">
        <v>142</v>
      </c>
      <c r="AE2" s="8" t="s">
        <v>143</v>
      </c>
      <c r="AF2" s="8" t="s">
        <v>144</v>
      </c>
      <c r="AG2" s="8" t="s">
        <v>145</v>
      </c>
      <c r="AI2" s="1" t="s">
        <v>4</v>
      </c>
      <c r="AJ2" s="1" t="s">
        <v>5</v>
      </c>
      <c r="AK2" s="1" t="s">
        <v>6</v>
      </c>
      <c r="AL2" s="1" t="s">
        <v>7</v>
      </c>
      <c r="AM2" s="1" t="s">
        <v>8</v>
      </c>
      <c r="AO2" s="1" t="s">
        <v>5</v>
      </c>
      <c r="AP2" s="1" t="s">
        <v>6</v>
      </c>
      <c r="AQ2" s="1" t="s">
        <v>7</v>
      </c>
      <c r="AR2" s="1" t="s">
        <v>8</v>
      </c>
      <c r="AS2" s="23" t="s">
        <v>147</v>
      </c>
      <c r="AU2" s="1" t="s">
        <v>5</v>
      </c>
      <c r="AV2" s="1" t="s">
        <v>6</v>
      </c>
      <c r="AW2" s="1" t="s">
        <v>7</v>
      </c>
      <c r="AX2" s="1" t="s">
        <v>8</v>
      </c>
      <c r="BB2" s="8" t="s">
        <v>5</v>
      </c>
      <c r="BC2" s="8" t="s">
        <v>6</v>
      </c>
      <c r="BD2" s="8" t="s">
        <v>7</v>
      </c>
      <c r="BE2" s="8" t="s">
        <v>8</v>
      </c>
    </row>
    <row r="3" spans="1:57" x14ac:dyDescent="0.2">
      <c r="A3" s="3">
        <v>0.15918416752297701</v>
      </c>
      <c r="B3" s="3">
        <v>9.0623809999999999E-2</v>
      </c>
      <c r="C3" s="3"/>
      <c r="D3" s="3">
        <v>0.42366397</v>
      </c>
      <c r="E3" s="3">
        <v>1.4830542</v>
      </c>
      <c r="F3" s="3">
        <v>3.0671667999999999</v>
      </c>
      <c r="G3" s="3">
        <v>9.0623809999999999E-2</v>
      </c>
      <c r="H3" s="3"/>
      <c r="I3" s="3"/>
      <c r="J3" s="3"/>
      <c r="K3" s="3"/>
      <c r="L3" t="s">
        <v>126</v>
      </c>
      <c r="M3">
        <v>2024</v>
      </c>
      <c r="N3">
        <v>0</v>
      </c>
      <c r="O3">
        <v>0</v>
      </c>
      <c r="P3">
        <v>0</v>
      </c>
      <c r="S3" t="s">
        <v>135</v>
      </c>
      <c r="T3" t="s">
        <v>135</v>
      </c>
      <c r="U3" t="s">
        <v>135</v>
      </c>
      <c r="X3" t="s">
        <v>126</v>
      </c>
      <c r="Y3" t="s">
        <v>136</v>
      </c>
      <c r="Z3">
        <v>2024</v>
      </c>
      <c r="AA3">
        <v>0</v>
      </c>
      <c r="AB3">
        <v>0</v>
      </c>
      <c r="AC3">
        <v>0</v>
      </c>
      <c r="AI3" t="s">
        <v>24</v>
      </c>
      <c r="AJ3">
        <v>2055</v>
      </c>
      <c r="AK3">
        <v>2067</v>
      </c>
      <c r="AO3">
        <v>2038</v>
      </c>
      <c r="AP3">
        <v>2059</v>
      </c>
      <c r="AU3">
        <f>IF(AND(NOT(AO3=""),NOT(AJ3="")),AJ3-AO3,"")</f>
        <v>17</v>
      </c>
      <c r="AV3">
        <f t="shared" ref="AV3:AX3" si="0">IF(AND(NOT(AP3=""),NOT(AK3="")),AK3-AP3,"")</f>
        <v>8</v>
      </c>
      <c r="AW3" t="str">
        <f t="shared" si="0"/>
        <v/>
      </c>
      <c r="AX3" t="str">
        <f t="shared" si="0"/>
        <v/>
      </c>
      <c r="BB3">
        <v>17</v>
      </c>
      <c r="BC3">
        <v>8</v>
      </c>
      <c r="BD3" t="s">
        <v>135</v>
      </c>
      <c r="BE3" t="s">
        <v>135</v>
      </c>
    </row>
    <row r="4" spans="1:57" x14ac:dyDescent="0.2">
      <c r="A4" s="3">
        <v>0.15918416752297701</v>
      </c>
      <c r="B4" s="3">
        <v>0.29548099999999999</v>
      </c>
      <c r="C4" s="3"/>
      <c r="D4" s="3">
        <v>0.62582934000000001</v>
      </c>
      <c r="E4" s="3">
        <v>1.8343076</v>
      </c>
      <c r="F4" s="3">
        <v>3.7184586999999998</v>
      </c>
      <c r="G4" s="3">
        <v>0.29548099999999999</v>
      </c>
      <c r="H4" s="3"/>
      <c r="I4" s="3"/>
      <c r="J4" s="3"/>
      <c r="K4" s="3"/>
      <c r="L4" t="s">
        <v>127</v>
      </c>
      <c r="M4">
        <v>2024</v>
      </c>
      <c r="N4">
        <v>0</v>
      </c>
      <c r="O4">
        <v>0</v>
      </c>
      <c r="P4">
        <v>0</v>
      </c>
      <c r="R4">
        <v>2050</v>
      </c>
      <c r="S4" t="s">
        <v>135</v>
      </c>
      <c r="T4" t="s">
        <v>135</v>
      </c>
      <c r="U4" t="s">
        <v>135</v>
      </c>
      <c r="Y4" t="s">
        <v>137</v>
      </c>
      <c r="AI4" t="s">
        <v>27</v>
      </c>
      <c r="AJ4">
        <v>2049</v>
      </c>
      <c r="AK4">
        <v>2057</v>
      </c>
      <c r="AO4">
        <v>2038</v>
      </c>
      <c r="AP4">
        <v>2059</v>
      </c>
      <c r="AU4">
        <f t="shared" ref="AU4:AU36" si="1">IF(AND(NOT(AO4=""),NOT(AJ4="")),AJ4-AO4,"")</f>
        <v>11</v>
      </c>
      <c r="AV4">
        <f t="shared" ref="AV4:AV36" si="2">IF(AND(NOT(AP4=""),NOT(AK4="")),AK4-AP4,"")</f>
        <v>-2</v>
      </c>
      <c r="AW4" t="str">
        <f t="shared" ref="AW4:AW36" si="3">IF(AND(NOT(AQ4=""),NOT(AL4="")),AL4-AQ4,"")</f>
        <v/>
      </c>
      <c r="AX4" t="str">
        <f t="shared" ref="AX4:AX36" si="4">IF(AND(NOT(AR4=""),NOT(AM4="")),AM4-AR4,"")</f>
        <v/>
      </c>
      <c r="BB4">
        <v>11</v>
      </c>
      <c r="BC4">
        <v>-2</v>
      </c>
      <c r="BD4" t="s">
        <v>135</v>
      </c>
      <c r="BE4" t="s">
        <v>135</v>
      </c>
    </row>
    <row r="5" spans="1:57" x14ac:dyDescent="0.2">
      <c r="A5" s="3">
        <v>0.15918416752297701</v>
      </c>
      <c r="B5" s="3">
        <v>0.45683049999999997</v>
      </c>
      <c r="C5" s="3"/>
      <c r="D5" s="3">
        <v>0.86338309999999996</v>
      </c>
      <c r="E5" s="3">
        <v>1.6859899</v>
      </c>
      <c r="F5" s="3">
        <v>4.0089784000000002</v>
      </c>
      <c r="G5" s="3">
        <v>0.45683049999999997</v>
      </c>
      <c r="H5" s="3"/>
      <c r="I5" s="3"/>
      <c r="J5" s="3"/>
      <c r="K5" s="3"/>
      <c r="L5" t="s">
        <v>128</v>
      </c>
      <c r="M5">
        <v>2024</v>
      </c>
      <c r="N5">
        <v>0</v>
      </c>
      <c r="O5">
        <v>0</v>
      </c>
      <c r="P5">
        <v>0</v>
      </c>
      <c r="R5">
        <v>2039</v>
      </c>
      <c r="S5" t="s">
        <v>135</v>
      </c>
      <c r="T5" t="s">
        <v>135</v>
      </c>
      <c r="U5" t="s">
        <v>135</v>
      </c>
      <c r="AI5" t="s">
        <v>28</v>
      </c>
      <c r="AJ5">
        <v>2046</v>
      </c>
      <c r="AK5">
        <v>2057</v>
      </c>
      <c r="AO5">
        <v>2038</v>
      </c>
      <c r="AP5">
        <v>2059</v>
      </c>
      <c r="AU5">
        <f t="shared" si="1"/>
        <v>8</v>
      </c>
      <c r="AV5">
        <f t="shared" si="2"/>
        <v>-2</v>
      </c>
      <c r="AW5" t="str">
        <f t="shared" si="3"/>
        <v/>
      </c>
      <c r="AX5" t="str">
        <f t="shared" si="4"/>
        <v/>
      </c>
      <c r="BB5">
        <v>8</v>
      </c>
      <c r="BC5">
        <v>-2</v>
      </c>
      <c r="BD5" t="s">
        <v>135</v>
      </c>
      <c r="BE5" t="s">
        <v>135</v>
      </c>
    </row>
    <row r="6" spans="1:57" x14ac:dyDescent="0.2">
      <c r="A6" s="3">
        <v>1.3653254416148299</v>
      </c>
      <c r="B6" s="3">
        <v>1.0329398999999999</v>
      </c>
      <c r="C6" s="3"/>
      <c r="D6" s="3">
        <v>0.72953504000000002</v>
      </c>
      <c r="E6" s="3">
        <v>1.5696089</v>
      </c>
      <c r="F6" s="3">
        <v>3.3594560000000002</v>
      </c>
      <c r="G6" s="3">
        <v>1.0329398999999999</v>
      </c>
      <c r="H6" s="3"/>
      <c r="I6" s="3"/>
      <c r="J6" s="3"/>
      <c r="K6" s="3"/>
      <c r="L6" t="s">
        <v>123</v>
      </c>
      <c r="M6">
        <v>2024</v>
      </c>
      <c r="N6">
        <v>0</v>
      </c>
      <c r="O6">
        <v>0</v>
      </c>
      <c r="P6">
        <v>0</v>
      </c>
      <c r="S6" t="s">
        <v>135</v>
      </c>
      <c r="T6" t="s">
        <v>135</v>
      </c>
      <c r="U6" t="s">
        <v>135</v>
      </c>
      <c r="X6" t="s">
        <v>127</v>
      </c>
      <c r="Y6" t="s">
        <v>136</v>
      </c>
      <c r="Z6">
        <v>2024</v>
      </c>
      <c r="AA6">
        <v>0</v>
      </c>
      <c r="AB6">
        <v>0</v>
      </c>
      <c r="AC6">
        <v>0</v>
      </c>
      <c r="AI6" t="s">
        <v>50</v>
      </c>
      <c r="AJ6">
        <v>2042</v>
      </c>
      <c r="AK6">
        <v>2055</v>
      </c>
      <c r="AL6">
        <v>2074</v>
      </c>
      <c r="AO6">
        <v>2031</v>
      </c>
      <c r="AP6">
        <v>2046</v>
      </c>
      <c r="AQ6">
        <v>2068</v>
      </c>
      <c r="AR6">
        <v>2088</v>
      </c>
      <c r="AU6">
        <f t="shared" si="1"/>
        <v>11</v>
      </c>
      <c r="AV6">
        <f t="shared" si="2"/>
        <v>9</v>
      </c>
      <c r="AW6">
        <f t="shared" si="3"/>
        <v>6</v>
      </c>
      <c r="AX6" t="str">
        <f t="shared" si="4"/>
        <v/>
      </c>
      <c r="BB6">
        <v>11</v>
      </c>
      <c r="BC6">
        <v>9</v>
      </c>
      <c r="BD6">
        <v>6</v>
      </c>
      <c r="BE6" t="s">
        <v>135</v>
      </c>
    </row>
    <row r="7" spans="1:57" x14ac:dyDescent="0.2">
      <c r="A7" s="3">
        <v>0.56211865743001899</v>
      </c>
      <c r="B7" s="3">
        <v>0.44223594999999999</v>
      </c>
      <c r="C7" s="3"/>
      <c r="D7" s="3">
        <v>1.3926916</v>
      </c>
      <c r="E7" s="3">
        <v>2.135872</v>
      </c>
      <c r="F7" s="3">
        <v>4.4474349999999996</v>
      </c>
      <c r="G7" s="3">
        <v>0.44223594999999999</v>
      </c>
      <c r="H7" s="3"/>
      <c r="I7" s="3"/>
      <c r="J7" s="3"/>
      <c r="K7" s="3"/>
      <c r="L7" t="s">
        <v>129</v>
      </c>
      <c r="M7">
        <v>2024</v>
      </c>
      <c r="N7">
        <v>0</v>
      </c>
      <c r="O7">
        <v>0</v>
      </c>
      <c r="P7">
        <v>0</v>
      </c>
      <c r="R7">
        <v>2021</v>
      </c>
      <c r="S7">
        <v>33</v>
      </c>
      <c r="T7" t="s">
        <v>135</v>
      </c>
      <c r="U7" t="s">
        <v>135</v>
      </c>
      <c r="Y7" t="s">
        <v>137</v>
      </c>
      <c r="AD7">
        <v>2050</v>
      </c>
      <c r="AI7" t="s">
        <v>55</v>
      </c>
      <c r="AJ7">
        <v>2037</v>
      </c>
      <c r="AK7">
        <v>2047</v>
      </c>
      <c r="AL7">
        <v>2066</v>
      </c>
      <c r="AM7">
        <v>2082</v>
      </c>
      <c r="AO7">
        <v>2031</v>
      </c>
      <c r="AP7">
        <v>2046</v>
      </c>
      <c r="AQ7">
        <v>2068</v>
      </c>
      <c r="AR7">
        <v>2088</v>
      </c>
      <c r="AU7">
        <f t="shared" si="1"/>
        <v>6</v>
      </c>
      <c r="AV7">
        <f t="shared" si="2"/>
        <v>1</v>
      </c>
      <c r="AW7">
        <f t="shared" si="3"/>
        <v>-2</v>
      </c>
      <c r="AX7">
        <f t="shared" si="4"/>
        <v>-6</v>
      </c>
      <c r="BB7">
        <v>6</v>
      </c>
      <c r="BC7">
        <v>1</v>
      </c>
      <c r="BD7">
        <v>-2</v>
      </c>
      <c r="BE7">
        <v>-6</v>
      </c>
    </row>
    <row r="8" spans="1:57" x14ac:dyDescent="0.2">
      <c r="A8" s="3">
        <v>0.56211865743001899</v>
      </c>
      <c r="B8" s="3">
        <v>0.60457019999999995</v>
      </c>
      <c r="C8" s="3"/>
      <c r="D8" s="3">
        <v>0.45477644</v>
      </c>
      <c r="E8" s="3">
        <v>1.7128448000000001</v>
      </c>
      <c r="F8" s="3">
        <v>3.4657003999999998</v>
      </c>
      <c r="G8" s="3">
        <v>0.60457019999999995</v>
      </c>
      <c r="H8" s="3"/>
      <c r="I8" s="3"/>
      <c r="J8" s="3"/>
      <c r="K8" s="3"/>
      <c r="L8" t="s">
        <v>130</v>
      </c>
      <c r="M8">
        <v>2023</v>
      </c>
      <c r="N8">
        <v>0</v>
      </c>
      <c r="O8">
        <v>0</v>
      </c>
      <c r="P8">
        <v>0</v>
      </c>
      <c r="R8">
        <v>2039</v>
      </c>
      <c r="S8" t="s">
        <v>135</v>
      </c>
      <c r="T8" t="s">
        <v>135</v>
      </c>
      <c r="U8" t="s">
        <v>135</v>
      </c>
      <c r="AI8" t="s">
        <v>56</v>
      </c>
      <c r="AJ8">
        <v>2032</v>
      </c>
      <c r="AK8">
        <v>2045</v>
      </c>
      <c r="AL8">
        <v>2061</v>
      </c>
      <c r="AM8">
        <v>2077</v>
      </c>
      <c r="AO8">
        <v>2031</v>
      </c>
      <c r="AP8">
        <v>2046</v>
      </c>
      <c r="AQ8">
        <v>2068</v>
      </c>
      <c r="AR8">
        <v>2088</v>
      </c>
      <c r="AU8">
        <f t="shared" si="1"/>
        <v>1</v>
      </c>
      <c r="AV8">
        <f t="shared" si="2"/>
        <v>-1</v>
      </c>
      <c r="AW8">
        <f t="shared" si="3"/>
        <v>-7</v>
      </c>
      <c r="AX8">
        <f t="shared" si="4"/>
        <v>-11</v>
      </c>
      <c r="BB8">
        <v>1</v>
      </c>
      <c r="BC8">
        <v>-1</v>
      </c>
      <c r="BD8">
        <v>-7</v>
      </c>
      <c r="BE8">
        <v>-11</v>
      </c>
    </row>
    <row r="9" spans="1:57" x14ac:dyDescent="0.2">
      <c r="A9" s="3">
        <v>0.57081158955894795</v>
      </c>
      <c r="B9" s="3">
        <v>0.586391</v>
      </c>
      <c r="C9" s="3"/>
      <c r="D9" s="3">
        <v>0.64330279999999995</v>
      </c>
      <c r="E9" s="3">
        <v>1.2354039999999999</v>
      </c>
      <c r="F9" s="3">
        <v>3.1463549999999998</v>
      </c>
      <c r="G9" s="3">
        <v>0.586391</v>
      </c>
      <c r="H9" s="3"/>
      <c r="I9" s="3"/>
      <c r="J9" s="3"/>
      <c r="K9" s="3"/>
      <c r="L9" t="s">
        <v>131</v>
      </c>
      <c r="M9">
        <v>2023</v>
      </c>
      <c r="N9">
        <v>0</v>
      </c>
      <c r="O9">
        <v>0</v>
      </c>
      <c r="P9">
        <v>0</v>
      </c>
      <c r="R9">
        <v>2026</v>
      </c>
      <c r="S9" t="s">
        <v>135</v>
      </c>
      <c r="T9" t="s">
        <v>135</v>
      </c>
      <c r="U9" t="s">
        <v>135</v>
      </c>
      <c r="X9" t="s">
        <v>128</v>
      </c>
      <c r="Y9" t="s">
        <v>136</v>
      </c>
      <c r="Z9">
        <v>2024</v>
      </c>
      <c r="AA9">
        <v>0</v>
      </c>
      <c r="AB9">
        <v>0</v>
      </c>
      <c r="AC9">
        <v>0</v>
      </c>
      <c r="AI9" t="s">
        <v>10</v>
      </c>
      <c r="AO9">
        <v>2024</v>
      </c>
      <c r="AU9" t="str">
        <f t="shared" si="1"/>
        <v/>
      </c>
      <c r="AV9" t="str">
        <f t="shared" si="2"/>
        <v/>
      </c>
      <c r="AW9" t="str">
        <f t="shared" si="3"/>
        <v/>
      </c>
      <c r="AX9" t="str">
        <f t="shared" si="4"/>
        <v/>
      </c>
      <c r="BB9" t="s">
        <v>135</v>
      </c>
      <c r="BC9" t="s">
        <v>135</v>
      </c>
      <c r="BD9" t="s">
        <v>135</v>
      </c>
      <c r="BE9" t="s">
        <v>135</v>
      </c>
    </row>
    <row r="10" spans="1:57" x14ac:dyDescent="0.2">
      <c r="A10" s="3">
        <v>0.63252829487877804</v>
      </c>
      <c r="B10" s="3">
        <v>0.35588681999999999</v>
      </c>
      <c r="C10" s="3"/>
      <c r="D10" s="3">
        <v>0.59943809999999997</v>
      </c>
      <c r="E10" s="3">
        <v>1.8568515000000001</v>
      </c>
      <c r="F10" s="3">
        <v>2.954234</v>
      </c>
      <c r="G10" s="3">
        <v>0.35588681999999999</v>
      </c>
      <c r="H10" s="3">
        <v>1.1164337</v>
      </c>
      <c r="I10" s="3"/>
      <c r="J10" s="3"/>
      <c r="K10" s="3"/>
      <c r="L10" t="s">
        <v>132</v>
      </c>
      <c r="M10">
        <v>2017</v>
      </c>
      <c r="N10">
        <v>0</v>
      </c>
      <c r="O10">
        <v>0</v>
      </c>
      <c r="P10">
        <v>0</v>
      </c>
      <c r="S10" t="s">
        <v>135</v>
      </c>
      <c r="T10" t="s">
        <v>135</v>
      </c>
      <c r="U10" t="s">
        <v>135</v>
      </c>
      <c r="Y10" t="s">
        <v>137</v>
      </c>
      <c r="AD10">
        <v>2039</v>
      </c>
      <c r="AI10" t="s">
        <v>12</v>
      </c>
      <c r="AJ10">
        <v>2050</v>
      </c>
      <c r="AO10">
        <v>2024</v>
      </c>
      <c r="AU10">
        <f t="shared" si="1"/>
        <v>26</v>
      </c>
      <c r="AV10" t="str">
        <f t="shared" si="2"/>
        <v/>
      </c>
      <c r="AW10" t="str">
        <f t="shared" si="3"/>
        <v/>
      </c>
      <c r="AX10" t="str">
        <f t="shared" si="4"/>
        <v/>
      </c>
      <c r="BB10">
        <v>26</v>
      </c>
      <c r="BC10" t="s">
        <v>135</v>
      </c>
      <c r="BD10" t="s">
        <v>135</v>
      </c>
      <c r="BE10" t="s">
        <v>135</v>
      </c>
    </row>
    <row r="11" spans="1:57" x14ac:dyDescent="0.2">
      <c r="A11" s="3">
        <v>0.63252829487877804</v>
      </c>
      <c r="B11" s="3">
        <v>0.42781787999999998</v>
      </c>
      <c r="C11" s="3"/>
      <c r="D11" s="3"/>
      <c r="E11" s="3">
        <v>2.2449715000000001</v>
      </c>
      <c r="F11" s="3">
        <v>4.4268055000000004</v>
      </c>
      <c r="G11" s="3">
        <v>0.42781787999999998</v>
      </c>
      <c r="H11" s="3">
        <v>1.4269999</v>
      </c>
      <c r="I11" s="3"/>
      <c r="J11" s="3"/>
      <c r="K11" s="3"/>
      <c r="L11" t="s">
        <v>99</v>
      </c>
      <c r="M11">
        <v>2038</v>
      </c>
      <c r="N11">
        <v>21</v>
      </c>
      <c r="O11">
        <v>0</v>
      </c>
      <c r="P11">
        <v>0</v>
      </c>
      <c r="R11">
        <v>2055</v>
      </c>
      <c r="S11">
        <v>21</v>
      </c>
      <c r="T11" t="s">
        <v>135</v>
      </c>
      <c r="U11" t="s">
        <v>135</v>
      </c>
      <c r="AI11" t="s">
        <v>13</v>
      </c>
      <c r="AJ11">
        <v>2037</v>
      </c>
      <c r="AO11">
        <v>2024</v>
      </c>
      <c r="AU11">
        <f t="shared" si="1"/>
        <v>13</v>
      </c>
      <c r="AV11" t="str">
        <f t="shared" si="2"/>
        <v/>
      </c>
      <c r="AW11" t="str">
        <f t="shared" si="3"/>
        <v/>
      </c>
      <c r="AX11" t="str">
        <f t="shared" si="4"/>
        <v/>
      </c>
      <c r="BB11">
        <v>13</v>
      </c>
      <c r="BC11" t="s">
        <v>135</v>
      </c>
      <c r="BD11" t="s">
        <v>135</v>
      </c>
      <c r="BE11" t="s">
        <v>135</v>
      </c>
    </row>
    <row r="12" spans="1:57" x14ac:dyDescent="0.2">
      <c r="A12" s="3">
        <v>0.63252829487877804</v>
      </c>
      <c r="B12" s="3">
        <v>0.52190990000000004</v>
      </c>
      <c r="C12" s="3"/>
      <c r="D12" s="3"/>
      <c r="E12" s="3">
        <v>2.4877014000000002</v>
      </c>
      <c r="F12" s="3">
        <v>5.1681100000000004</v>
      </c>
      <c r="G12" s="3">
        <v>0.52190990000000004</v>
      </c>
      <c r="H12" s="3">
        <v>1.4629586999999999</v>
      </c>
      <c r="I12" s="3"/>
      <c r="J12" s="3"/>
      <c r="K12" s="3"/>
      <c r="L12" t="s">
        <v>100</v>
      </c>
      <c r="M12">
        <v>2038</v>
      </c>
      <c r="N12">
        <v>21</v>
      </c>
      <c r="O12">
        <v>0</v>
      </c>
      <c r="P12">
        <v>0</v>
      </c>
      <c r="R12">
        <v>2049</v>
      </c>
      <c r="S12">
        <v>9</v>
      </c>
      <c r="T12" t="s">
        <v>135</v>
      </c>
      <c r="U12" t="s">
        <v>135</v>
      </c>
      <c r="X12" t="s">
        <v>123</v>
      </c>
      <c r="Y12" t="s">
        <v>136</v>
      </c>
      <c r="Z12">
        <v>2024</v>
      </c>
      <c r="AA12">
        <v>0</v>
      </c>
      <c r="AB12">
        <v>0</v>
      </c>
      <c r="AC12">
        <v>0</v>
      </c>
      <c r="AI12" t="s">
        <v>149</v>
      </c>
      <c r="AO12">
        <v>2024</v>
      </c>
      <c r="AU12" t="str">
        <f t="shared" si="1"/>
        <v/>
      </c>
      <c r="AV12" t="str">
        <f t="shared" si="2"/>
        <v/>
      </c>
      <c r="AW12" t="str">
        <f t="shared" si="3"/>
        <v/>
      </c>
      <c r="AX12" t="str">
        <f t="shared" si="4"/>
        <v/>
      </c>
      <c r="BB12" t="s">
        <v>135</v>
      </c>
      <c r="BC12" t="s">
        <v>135</v>
      </c>
      <c r="BD12" t="s">
        <v>135</v>
      </c>
      <c r="BE12" t="s">
        <v>135</v>
      </c>
    </row>
    <row r="13" spans="1:57" x14ac:dyDescent="0.2">
      <c r="A13" s="3">
        <v>0.37880875913762102</v>
      </c>
      <c r="B13" s="3">
        <v>0.38333833</v>
      </c>
      <c r="C13" s="3"/>
      <c r="D13" s="3"/>
      <c r="E13" s="3">
        <v>2.2017250000000002</v>
      </c>
      <c r="F13" s="3">
        <v>5.1528140000000002</v>
      </c>
      <c r="G13" s="3">
        <v>0.38333833</v>
      </c>
      <c r="H13" s="3">
        <v>0.77936709999999998</v>
      </c>
      <c r="I13" s="3"/>
      <c r="J13" s="3"/>
      <c r="K13" s="3"/>
      <c r="L13" t="s">
        <v>101</v>
      </c>
      <c r="M13">
        <v>2038</v>
      </c>
      <c r="N13">
        <v>21</v>
      </c>
      <c r="O13">
        <v>0</v>
      </c>
      <c r="P13">
        <v>0</v>
      </c>
      <c r="R13">
        <v>2046</v>
      </c>
      <c r="S13">
        <v>11</v>
      </c>
      <c r="T13" t="s">
        <v>135</v>
      </c>
      <c r="U13" t="s">
        <v>135</v>
      </c>
      <c r="Y13" t="s">
        <v>137</v>
      </c>
      <c r="AI13" t="s">
        <v>30</v>
      </c>
      <c r="AJ13">
        <v>2049</v>
      </c>
      <c r="AK13">
        <v>2060</v>
      </c>
      <c r="AO13">
        <v>2023</v>
      </c>
      <c r="AP13">
        <v>2045</v>
      </c>
      <c r="AU13">
        <f t="shared" si="1"/>
        <v>26</v>
      </c>
      <c r="AV13">
        <f t="shared" si="2"/>
        <v>15</v>
      </c>
      <c r="AW13" t="str">
        <f t="shared" si="3"/>
        <v/>
      </c>
      <c r="AX13" t="str">
        <f t="shared" si="4"/>
        <v/>
      </c>
      <c r="BB13">
        <v>26</v>
      </c>
      <c r="BC13">
        <v>15</v>
      </c>
      <c r="BD13" t="s">
        <v>135</v>
      </c>
      <c r="BE13" t="s">
        <v>135</v>
      </c>
    </row>
    <row r="14" spans="1:57" x14ac:dyDescent="0.2">
      <c r="A14" s="3">
        <v>0.37880875913762102</v>
      </c>
      <c r="B14" s="3">
        <v>0.48546289999999997</v>
      </c>
      <c r="C14" s="3"/>
      <c r="D14" s="3"/>
      <c r="E14" s="3">
        <v>1.4460652000000001</v>
      </c>
      <c r="F14" s="3">
        <v>3.2599695</v>
      </c>
      <c r="G14" s="3">
        <v>0.48546289999999997</v>
      </c>
      <c r="H14" s="3">
        <v>1.1440437999999999</v>
      </c>
      <c r="I14" s="3"/>
      <c r="J14" s="3"/>
      <c r="K14" s="3"/>
      <c r="L14" t="s">
        <v>102</v>
      </c>
      <c r="M14">
        <v>2023</v>
      </c>
      <c r="N14">
        <v>22</v>
      </c>
      <c r="O14">
        <v>0</v>
      </c>
      <c r="P14">
        <v>0</v>
      </c>
      <c r="R14">
        <v>2050</v>
      </c>
      <c r="S14">
        <v>11</v>
      </c>
      <c r="T14" t="s">
        <v>135</v>
      </c>
      <c r="U14" t="s">
        <v>135</v>
      </c>
      <c r="AI14" t="s">
        <v>32</v>
      </c>
      <c r="AJ14">
        <v>2032</v>
      </c>
      <c r="AK14">
        <v>2052</v>
      </c>
      <c r="AO14">
        <v>2023</v>
      </c>
      <c r="AP14">
        <v>2045</v>
      </c>
      <c r="AU14">
        <f t="shared" si="1"/>
        <v>9</v>
      </c>
      <c r="AV14">
        <f t="shared" si="2"/>
        <v>7</v>
      </c>
      <c r="AW14" t="str">
        <f t="shared" si="3"/>
        <v/>
      </c>
      <c r="AX14" t="str">
        <f t="shared" si="4"/>
        <v/>
      </c>
      <c r="BB14">
        <v>9</v>
      </c>
      <c r="BC14">
        <v>7</v>
      </c>
      <c r="BD14" t="s">
        <v>135</v>
      </c>
      <c r="BE14" t="s">
        <v>135</v>
      </c>
    </row>
    <row r="15" spans="1:57" x14ac:dyDescent="0.2">
      <c r="A15" s="3">
        <v>0.457424211517724</v>
      </c>
      <c r="B15" s="3">
        <v>0.56741010000000003</v>
      </c>
      <c r="C15" s="3"/>
      <c r="D15" s="3"/>
      <c r="E15" s="3">
        <v>1.7954683</v>
      </c>
      <c r="F15" s="3">
        <v>4.0289105999999997</v>
      </c>
      <c r="G15" s="3">
        <v>0.56741010000000003</v>
      </c>
      <c r="H15" s="3">
        <v>0.83607894000000005</v>
      </c>
      <c r="I15" s="3"/>
      <c r="J15" s="3"/>
      <c r="K15" s="3"/>
      <c r="L15" t="s">
        <v>103</v>
      </c>
      <c r="M15">
        <v>2023</v>
      </c>
      <c r="N15">
        <v>22</v>
      </c>
      <c r="O15">
        <v>0</v>
      </c>
      <c r="P15">
        <v>0</v>
      </c>
      <c r="R15">
        <v>2032</v>
      </c>
      <c r="S15">
        <v>20</v>
      </c>
      <c r="T15" t="s">
        <v>135</v>
      </c>
      <c r="U15" t="s">
        <v>135</v>
      </c>
      <c r="X15" t="s">
        <v>129</v>
      </c>
      <c r="Y15" t="s">
        <v>136</v>
      </c>
      <c r="Z15">
        <v>2024</v>
      </c>
      <c r="AA15">
        <v>0</v>
      </c>
      <c r="AB15">
        <v>0</v>
      </c>
      <c r="AC15">
        <v>0</v>
      </c>
      <c r="AI15" t="s">
        <v>34</v>
      </c>
      <c r="AJ15">
        <v>2031</v>
      </c>
      <c r="AK15">
        <v>2065</v>
      </c>
      <c r="AO15">
        <v>2023</v>
      </c>
      <c r="AP15">
        <v>2045</v>
      </c>
      <c r="AU15">
        <f t="shared" si="1"/>
        <v>8</v>
      </c>
      <c r="AV15">
        <f t="shared" si="2"/>
        <v>20</v>
      </c>
      <c r="AW15" t="str">
        <f t="shared" si="3"/>
        <v/>
      </c>
      <c r="AX15" t="str">
        <f t="shared" si="4"/>
        <v/>
      </c>
      <c r="BB15">
        <v>8</v>
      </c>
      <c r="BC15">
        <v>20</v>
      </c>
      <c r="BD15" t="s">
        <v>135</v>
      </c>
      <c r="BE15" t="s">
        <v>135</v>
      </c>
    </row>
    <row r="16" spans="1:57" x14ac:dyDescent="0.2">
      <c r="A16" s="3">
        <v>1.28844432176343</v>
      </c>
      <c r="B16" s="3">
        <v>0.96591585999999996</v>
      </c>
      <c r="D16" s="3"/>
      <c r="G16" s="3">
        <v>0.96591585999999996</v>
      </c>
      <c r="H16" s="3">
        <v>1.6673487</v>
      </c>
      <c r="I16" s="3">
        <v>2.4161831999999999</v>
      </c>
      <c r="J16" s="3"/>
      <c r="K16" s="3"/>
      <c r="L16" t="s">
        <v>104</v>
      </c>
      <c r="M16">
        <v>2023</v>
      </c>
      <c r="N16">
        <v>22</v>
      </c>
      <c r="O16">
        <v>0</v>
      </c>
      <c r="P16">
        <v>0</v>
      </c>
      <c r="R16">
        <v>2031</v>
      </c>
      <c r="S16">
        <v>34</v>
      </c>
      <c r="T16" t="s">
        <v>135</v>
      </c>
      <c r="U16" t="s">
        <v>135</v>
      </c>
      <c r="Y16" t="s">
        <v>137</v>
      </c>
      <c r="AD16">
        <v>2021</v>
      </c>
      <c r="AE16">
        <v>33</v>
      </c>
      <c r="AI16" t="s">
        <v>87</v>
      </c>
      <c r="AJ16">
        <v>2038</v>
      </c>
      <c r="AK16">
        <v>2072</v>
      </c>
      <c r="AO16">
        <v>2023</v>
      </c>
      <c r="AP16">
        <v>2045</v>
      </c>
      <c r="AU16">
        <f t="shared" si="1"/>
        <v>15</v>
      </c>
      <c r="AV16">
        <f t="shared" si="2"/>
        <v>27</v>
      </c>
      <c r="AW16" t="str">
        <f t="shared" si="3"/>
        <v/>
      </c>
      <c r="AX16" t="str">
        <f t="shared" si="4"/>
        <v/>
      </c>
      <c r="BB16">
        <v>15</v>
      </c>
      <c r="BC16">
        <v>27</v>
      </c>
      <c r="BD16" t="s">
        <v>135</v>
      </c>
      <c r="BE16" t="s">
        <v>135</v>
      </c>
    </row>
    <row r="17" spans="1:57" x14ac:dyDescent="0.2">
      <c r="A17" s="3">
        <v>1.28844432176343</v>
      </c>
      <c r="B17" s="3">
        <v>0.97880469999999997</v>
      </c>
      <c r="D17" s="3"/>
      <c r="G17" s="3">
        <v>0.97880469999999997</v>
      </c>
      <c r="H17" s="3">
        <v>1.4296597</v>
      </c>
      <c r="I17" s="3">
        <v>2.5177238000000002</v>
      </c>
      <c r="J17" s="3"/>
      <c r="K17" s="3"/>
      <c r="L17" t="s">
        <v>124</v>
      </c>
      <c r="M17">
        <v>2023</v>
      </c>
      <c r="N17">
        <v>22</v>
      </c>
      <c r="O17">
        <v>0</v>
      </c>
      <c r="P17">
        <v>0</v>
      </c>
      <c r="R17">
        <v>2038</v>
      </c>
      <c r="S17">
        <v>35</v>
      </c>
      <c r="T17" t="s">
        <v>135</v>
      </c>
      <c r="U17" t="s">
        <v>135</v>
      </c>
      <c r="AI17" t="s">
        <v>58</v>
      </c>
      <c r="AJ17">
        <v>2041</v>
      </c>
      <c r="AK17">
        <v>2053</v>
      </c>
      <c r="AL17">
        <v>2076</v>
      </c>
      <c r="AM17">
        <v>2089</v>
      </c>
      <c r="AO17">
        <v>2019</v>
      </c>
      <c r="AP17">
        <v>2035</v>
      </c>
      <c r="AQ17">
        <v>2061</v>
      </c>
      <c r="AU17">
        <f t="shared" si="1"/>
        <v>22</v>
      </c>
      <c r="AV17">
        <f t="shared" si="2"/>
        <v>18</v>
      </c>
      <c r="AW17">
        <f t="shared" si="3"/>
        <v>15</v>
      </c>
      <c r="AX17" t="str">
        <f t="shared" si="4"/>
        <v/>
      </c>
      <c r="BB17">
        <v>22</v>
      </c>
      <c r="BC17">
        <v>18</v>
      </c>
      <c r="BD17">
        <v>15</v>
      </c>
      <c r="BE17" t="s">
        <v>135</v>
      </c>
    </row>
    <row r="18" spans="1:57" x14ac:dyDescent="0.2">
      <c r="A18" s="3">
        <v>0.36612952992296299</v>
      </c>
      <c r="B18" s="3">
        <v>0.18303112999999999</v>
      </c>
      <c r="G18" s="3">
        <v>0.18303112999999999</v>
      </c>
      <c r="H18" s="3">
        <v>0.70583885999999996</v>
      </c>
      <c r="I18" s="3">
        <v>1.762397</v>
      </c>
      <c r="J18" s="3"/>
      <c r="K18" s="3"/>
      <c r="L18" t="s">
        <v>107</v>
      </c>
      <c r="M18">
        <v>2017</v>
      </c>
      <c r="N18">
        <v>17</v>
      </c>
      <c r="O18">
        <v>44</v>
      </c>
      <c r="P18">
        <v>0</v>
      </c>
      <c r="R18">
        <v>2038</v>
      </c>
      <c r="S18">
        <v>32</v>
      </c>
      <c r="T18" t="s">
        <v>135</v>
      </c>
      <c r="U18" t="s">
        <v>135</v>
      </c>
      <c r="X18" t="s">
        <v>130</v>
      </c>
      <c r="Y18" t="s">
        <v>136</v>
      </c>
      <c r="Z18">
        <v>2023</v>
      </c>
      <c r="AA18">
        <v>0</v>
      </c>
      <c r="AB18">
        <v>0</v>
      </c>
      <c r="AC18">
        <v>0</v>
      </c>
      <c r="AI18" t="s">
        <v>62</v>
      </c>
      <c r="AJ18">
        <v>2028</v>
      </c>
      <c r="AK18">
        <v>2040</v>
      </c>
      <c r="AL18">
        <v>2059</v>
      </c>
      <c r="AM18">
        <v>2076</v>
      </c>
      <c r="AO18">
        <v>2019</v>
      </c>
      <c r="AP18">
        <v>2035</v>
      </c>
      <c r="AQ18">
        <v>2061</v>
      </c>
      <c r="AU18">
        <f t="shared" si="1"/>
        <v>9</v>
      </c>
      <c r="AV18">
        <f t="shared" si="2"/>
        <v>5</v>
      </c>
      <c r="AW18">
        <f t="shared" si="3"/>
        <v>-2</v>
      </c>
      <c r="AX18" t="str">
        <f t="shared" si="4"/>
        <v/>
      </c>
      <c r="BB18">
        <v>9</v>
      </c>
      <c r="BC18">
        <v>5</v>
      </c>
      <c r="BD18">
        <v>-2</v>
      </c>
      <c r="BE18" t="s">
        <v>135</v>
      </c>
    </row>
    <row r="19" spans="1:57" x14ac:dyDescent="0.2">
      <c r="A19" s="3">
        <v>0.36612952992296299</v>
      </c>
      <c r="B19" s="3">
        <v>0.35165386999999998</v>
      </c>
      <c r="G19" s="3">
        <v>0.35165386999999998</v>
      </c>
      <c r="H19" s="3">
        <v>0.74572194000000003</v>
      </c>
      <c r="I19" s="3">
        <v>2.1931251999999999</v>
      </c>
      <c r="J19" s="3"/>
      <c r="K19" s="3"/>
      <c r="L19" t="s">
        <v>108</v>
      </c>
      <c r="M19">
        <v>2017</v>
      </c>
      <c r="N19">
        <v>17</v>
      </c>
      <c r="O19">
        <v>44</v>
      </c>
      <c r="P19">
        <v>0</v>
      </c>
      <c r="R19">
        <v>2038</v>
      </c>
      <c r="S19">
        <v>18</v>
      </c>
      <c r="T19" t="s">
        <v>135</v>
      </c>
      <c r="U19" t="s">
        <v>135</v>
      </c>
      <c r="Y19" t="s">
        <v>137</v>
      </c>
      <c r="AD19">
        <v>2039</v>
      </c>
      <c r="AI19" t="s">
        <v>64</v>
      </c>
      <c r="AJ19">
        <v>2030</v>
      </c>
      <c r="AK19">
        <v>2058</v>
      </c>
      <c r="AL19">
        <v>2073</v>
      </c>
      <c r="AM19">
        <v>2083</v>
      </c>
      <c r="AO19">
        <v>2020</v>
      </c>
      <c r="AP19">
        <v>2036</v>
      </c>
      <c r="AQ19">
        <v>2062</v>
      </c>
      <c r="AR19">
        <v>2083</v>
      </c>
      <c r="AU19">
        <f t="shared" si="1"/>
        <v>10</v>
      </c>
      <c r="AV19">
        <f t="shared" si="2"/>
        <v>22</v>
      </c>
      <c r="AW19">
        <f t="shared" si="3"/>
        <v>11</v>
      </c>
      <c r="AX19">
        <f t="shared" si="4"/>
        <v>0</v>
      </c>
      <c r="BB19">
        <v>10</v>
      </c>
      <c r="BC19">
        <v>22</v>
      </c>
      <c r="BD19">
        <v>11</v>
      </c>
      <c r="BE19">
        <v>0</v>
      </c>
    </row>
    <row r="20" spans="1:57" x14ac:dyDescent="0.2">
      <c r="A20" s="3">
        <v>0.27052468193900803</v>
      </c>
      <c r="B20" s="3">
        <v>0.17434321</v>
      </c>
      <c r="G20" s="3">
        <v>0.17434321</v>
      </c>
      <c r="H20" s="3">
        <v>0.79325056000000005</v>
      </c>
      <c r="I20" s="3"/>
      <c r="J20" s="3"/>
      <c r="K20" s="3"/>
      <c r="L20" t="s">
        <v>105</v>
      </c>
      <c r="M20">
        <v>2029</v>
      </c>
      <c r="N20">
        <v>15</v>
      </c>
      <c r="O20">
        <v>35</v>
      </c>
      <c r="P20">
        <v>0</v>
      </c>
      <c r="R20">
        <v>2025</v>
      </c>
      <c r="S20">
        <v>16</v>
      </c>
      <c r="T20">
        <v>28</v>
      </c>
      <c r="U20" t="s">
        <v>135</v>
      </c>
      <c r="AI20" t="s">
        <v>88</v>
      </c>
      <c r="AJ20">
        <v>2029</v>
      </c>
      <c r="AK20">
        <v>2052</v>
      </c>
      <c r="AL20">
        <v>2077</v>
      </c>
      <c r="AO20">
        <v>2020</v>
      </c>
      <c r="AP20">
        <v>2036</v>
      </c>
      <c r="AQ20">
        <v>2062</v>
      </c>
      <c r="AR20">
        <v>2083</v>
      </c>
      <c r="AU20">
        <f t="shared" si="1"/>
        <v>9</v>
      </c>
      <c r="AV20">
        <f t="shared" si="2"/>
        <v>16</v>
      </c>
      <c r="AW20">
        <f t="shared" si="3"/>
        <v>15</v>
      </c>
      <c r="AX20" t="str">
        <f t="shared" si="4"/>
        <v/>
      </c>
      <c r="BB20">
        <v>9</v>
      </c>
      <c r="BC20">
        <v>16</v>
      </c>
      <c r="BD20">
        <v>15</v>
      </c>
      <c r="BE20" t="s">
        <v>135</v>
      </c>
    </row>
    <row r="21" spans="1:57" x14ac:dyDescent="0.2">
      <c r="A21" s="3">
        <v>0.27052468193900803</v>
      </c>
      <c r="B21" s="3">
        <v>0.26283157000000001</v>
      </c>
      <c r="G21" s="3">
        <v>0.26283157000000001</v>
      </c>
      <c r="H21" s="3">
        <v>1.0605827999999999</v>
      </c>
      <c r="I21" s="3"/>
      <c r="J21" s="3"/>
      <c r="K21" s="3"/>
      <c r="L21" t="s">
        <v>106</v>
      </c>
      <c r="M21">
        <v>2029</v>
      </c>
      <c r="N21">
        <v>15</v>
      </c>
      <c r="O21">
        <v>35</v>
      </c>
      <c r="P21">
        <v>0</v>
      </c>
      <c r="R21">
        <v>2027</v>
      </c>
      <c r="S21">
        <v>16</v>
      </c>
      <c r="T21">
        <v>27</v>
      </c>
      <c r="U21" t="s">
        <v>135</v>
      </c>
      <c r="X21" t="s">
        <v>131</v>
      </c>
      <c r="Y21" t="s">
        <v>136</v>
      </c>
      <c r="Z21">
        <v>2023</v>
      </c>
      <c r="AA21">
        <v>0</v>
      </c>
      <c r="AB21">
        <v>0</v>
      </c>
      <c r="AC21">
        <v>0</v>
      </c>
      <c r="AI21" t="s">
        <v>42</v>
      </c>
      <c r="AJ21">
        <v>2038</v>
      </c>
      <c r="AK21">
        <v>2070</v>
      </c>
      <c r="AO21">
        <v>2017</v>
      </c>
      <c r="AP21">
        <v>2034</v>
      </c>
      <c r="AQ21">
        <v>2078</v>
      </c>
      <c r="AU21">
        <f t="shared" si="1"/>
        <v>21</v>
      </c>
      <c r="AV21">
        <f t="shared" si="2"/>
        <v>36</v>
      </c>
      <c r="AW21" t="str">
        <f t="shared" si="3"/>
        <v/>
      </c>
      <c r="AX21" t="str">
        <f t="shared" si="4"/>
        <v/>
      </c>
      <c r="BB21">
        <v>21</v>
      </c>
      <c r="BC21">
        <v>36</v>
      </c>
      <c r="BD21" t="s">
        <v>135</v>
      </c>
      <c r="BE21" t="s">
        <v>135</v>
      </c>
    </row>
    <row r="22" spans="1:57" x14ac:dyDescent="0.2">
      <c r="A22" s="3">
        <v>0.80631215971271497</v>
      </c>
      <c r="B22" s="3">
        <v>0.50512855999999995</v>
      </c>
      <c r="G22" s="3">
        <v>0.50512855999999995</v>
      </c>
      <c r="H22" s="3">
        <v>1.0469978</v>
      </c>
      <c r="I22" s="3">
        <v>2.019355</v>
      </c>
      <c r="J22" s="3">
        <v>3.0102582</v>
      </c>
      <c r="K22" s="3"/>
      <c r="L22" t="s">
        <v>109</v>
      </c>
      <c r="M22">
        <v>2023</v>
      </c>
      <c r="N22">
        <v>22</v>
      </c>
      <c r="O22">
        <v>0</v>
      </c>
      <c r="P22">
        <v>0</v>
      </c>
      <c r="R22">
        <v>2039</v>
      </c>
      <c r="S22">
        <v>51</v>
      </c>
      <c r="T22" t="s">
        <v>135</v>
      </c>
      <c r="U22" t="s">
        <v>135</v>
      </c>
      <c r="Y22" t="s">
        <v>137</v>
      </c>
      <c r="AD22">
        <v>2026</v>
      </c>
      <c r="AI22" t="s">
        <v>45</v>
      </c>
      <c r="AJ22">
        <v>2037</v>
      </c>
      <c r="AK22">
        <v>2047</v>
      </c>
      <c r="AO22">
        <v>2017</v>
      </c>
      <c r="AP22">
        <v>2034</v>
      </c>
      <c r="AQ22">
        <v>2078</v>
      </c>
      <c r="AU22">
        <f t="shared" si="1"/>
        <v>20</v>
      </c>
      <c r="AV22">
        <f t="shared" si="2"/>
        <v>13</v>
      </c>
      <c r="AW22" t="str">
        <f t="shared" si="3"/>
        <v/>
      </c>
      <c r="AX22" t="str">
        <f t="shared" si="4"/>
        <v/>
      </c>
      <c r="BB22">
        <v>20</v>
      </c>
      <c r="BC22">
        <v>13</v>
      </c>
      <c r="BD22" t="s">
        <v>135</v>
      </c>
      <c r="BE22" t="s">
        <v>135</v>
      </c>
    </row>
    <row r="23" spans="1:57" x14ac:dyDescent="0.2">
      <c r="A23" s="3">
        <v>0.80631215971271497</v>
      </c>
      <c r="B23" s="3">
        <v>0.78271276000000001</v>
      </c>
      <c r="G23" s="3">
        <v>0.78271276000000001</v>
      </c>
      <c r="H23" s="3">
        <v>1.2177255</v>
      </c>
      <c r="I23" s="3">
        <v>2.6094992000000001</v>
      </c>
      <c r="J23" s="3">
        <v>3.5986015999999998</v>
      </c>
      <c r="K23" s="3"/>
      <c r="L23" t="s">
        <v>110</v>
      </c>
      <c r="M23">
        <v>2023</v>
      </c>
      <c r="N23">
        <v>22</v>
      </c>
      <c r="O23">
        <v>0</v>
      </c>
      <c r="P23">
        <v>0</v>
      </c>
      <c r="R23">
        <v>2034</v>
      </c>
      <c r="S23">
        <v>36</v>
      </c>
      <c r="T23" t="s">
        <v>135</v>
      </c>
      <c r="U23" t="s">
        <v>135</v>
      </c>
      <c r="AI23" t="s">
        <v>75</v>
      </c>
      <c r="AJ23">
        <v>2051</v>
      </c>
      <c r="AK23">
        <v>2058</v>
      </c>
      <c r="AL23">
        <v>2072</v>
      </c>
      <c r="AO23">
        <v>2016</v>
      </c>
      <c r="AP23">
        <v>2031</v>
      </c>
      <c r="AQ23">
        <v>2051</v>
      </c>
      <c r="AR23">
        <v>2067</v>
      </c>
      <c r="AU23">
        <f t="shared" si="1"/>
        <v>35</v>
      </c>
      <c r="AV23">
        <f t="shared" si="2"/>
        <v>27</v>
      </c>
      <c r="AW23">
        <f t="shared" si="3"/>
        <v>21</v>
      </c>
      <c r="AX23" t="str">
        <f t="shared" si="4"/>
        <v/>
      </c>
      <c r="BB23">
        <v>35</v>
      </c>
      <c r="BC23">
        <v>27</v>
      </c>
      <c r="BD23">
        <v>21</v>
      </c>
      <c r="BE23" t="s">
        <v>135</v>
      </c>
    </row>
    <row r="24" spans="1:57" x14ac:dyDescent="0.2">
      <c r="A24" s="3">
        <v>0.80631215971271497</v>
      </c>
      <c r="B24" s="3">
        <v>0.79933995000000002</v>
      </c>
      <c r="G24" s="3">
        <v>0.79933995000000002</v>
      </c>
      <c r="H24" s="3">
        <v>1.4378808999999999</v>
      </c>
      <c r="I24" s="3">
        <v>2.7811110000000001</v>
      </c>
      <c r="J24" s="3">
        <v>3.9668462</v>
      </c>
      <c r="K24" s="3"/>
      <c r="L24" t="s">
        <v>111</v>
      </c>
      <c r="M24">
        <v>2031</v>
      </c>
      <c r="N24">
        <v>15</v>
      </c>
      <c r="O24">
        <v>22</v>
      </c>
      <c r="P24">
        <v>20</v>
      </c>
      <c r="R24">
        <v>2042</v>
      </c>
      <c r="S24">
        <v>13</v>
      </c>
      <c r="T24">
        <v>21</v>
      </c>
      <c r="U24" t="s">
        <v>135</v>
      </c>
      <c r="X24" t="s">
        <v>132</v>
      </c>
      <c r="Y24" t="s">
        <v>136</v>
      </c>
      <c r="Z24">
        <v>2017</v>
      </c>
      <c r="AA24">
        <v>0</v>
      </c>
      <c r="AB24">
        <v>0</v>
      </c>
      <c r="AC24">
        <v>0</v>
      </c>
      <c r="AI24" t="s">
        <v>79</v>
      </c>
      <c r="AJ24">
        <v>2035</v>
      </c>
      <c r="AK24">
        <v>2042</v>
      </c>
      <c r="AL24">
        <v>2057</v>
      </c>
      <c r="AM24">
        <v>2068</v>
      </c>
      <c r="AO24">
        <v>2016</v>
      </c>
      <c r="AP24">
        <v>2031</v>
      </c>
      <c r="AQ24">
        <v>2051</v>
      </c>
      <c r="AR24">
        <v>2067</v>
      </c>
      <c r="AU24">
        <f t="shared" si="1"/>
        <v>19</v>
      </c>
      <c r="AV24">
        <f t="shared" si="2"/>
        <v>11</v>
      </c>
      <c r="AW24">
        <f t="shared" si="3"/>
        <v>6</v>
      </c>
      <c r="AX24">
        <f t="shared" si="4"/>
        <v>1</v>
      </c>
      <c r="BB24">
        <v>19</v>
      </c>
      <c r="BC24">
        <v>11</v>
      </c>
      <c r="BD24">
        <v>6</v>
      </c>
      <c r="BE24">
        <v>1</v>
      </c>
    </row>
    <row r="25" spans="1:57" x14ac:dyDescent="0.2">
      <c r="A25" s="3">
        <v>0.32010671893003101</v>
      </c>
      <c r="B25" s="3">
        <v>0.23519899999999999</v>
      </c>
      <c r="G25" s="3">
        <v>0.23519899999999999</v>
      </c>
      <c r="H25" s="3">
        <v>0.70149916000000001</v>
      </c>
      <c r="I25" s="3">
        <v>1.7608200000000001</v>
      </c>
      <c r="J25" s="3"/>
      <c r="K25" s="3"/>
      <c r="L25" t="s">
        <v>112</v>
      </c>
      <c r="M25">
        <v>2031</v>
      </c>
      <c r="N25">
        <v>15</v>
      </c>
      <c r="O25">
        <v>22</v>
      </c>
      <c r="P25">
        <v>20</v>
      </c>
      <c r="R25">
        <v>2038</v>
      </c>
      <c r="S25">
        <v>11</v>
      </c>
      <c r="T25">
        <v>17</v>
      </c>
      <c r="U25">
        <v>17</v>
      </c>
      <c r="Y25" t="s">
        <v>137</v>
      </c>
      <c r="AI25" t="s">
        <v>15</v>
      </c>
      <c r="AJ25">
        <v>2021</v>
      </c>
      <c r="AK25">
        <v>2054</v>
      </c>
      <c r="AO25">
        <v>2024</v>
      </c>
      <c r="AU25">
        <f t="shared" si="1"/>
        <v>-3</v>
      </c>
      <c r="AV25" t="str">
        <f t="shared" si="2"/>
        <v/>
      </c>
      <c r="AW25" t="str">
        <f t="shared" si="3"/>
        <v/>
      </c>
      <c r="AX25" t="str">
        <f t="shared" si="4"/>
        <v/>
      </c>
      <c r="BB25">
        <v>-3</v>
      </c>
      <c r="BC25" t="s">
        <v>135</v>
      </c>
      <c r="BD25" t="s">
        <v>135</v>
      </c>
      <c r="BE25" t="s">
        <v>135</v>
      </c>
    </row>
    <row r="26" spans="1:57" x14ac:dyDescent="0.2">
      <c r="A26" s="3">
        <v>0.32010671893003101</v>
      </c>
      <c r="B26" s="3">
        <v>0.43507950000000001</v>
      </c>
      <c r="G26" s="3">
        <v>0.43507950000000001</v>
      </c>
      <c r="H26" s="3">
        <v>1.2004429999999999</v>
      </c>
      <c r="I26" s="3">
        <v>2.6340458</v>
      </c>
      <c r="J26" s="3"/>
      <c r="K26" s="3"/>
      <c r="L26" t="s">
        <v>113</v>
      </c>
      <c r="M26">
        <v>2031</v>
      </c>
      <c r="N26">
        <v>15</v>
      </c>
      <c r="O26">
        <v>22</v>
      </c>
      <c r="P26">
        <v>20</v>
      </c>
      <c r="R26">
        <v>2032</v>
      </c>
      <c r="S26">
        <v>14</v>
      </c>
      <c r="T26">
        <v>16</v>
      </c>
      <c r="U26">
        <v>18</v>
      </c>
      <c r="AI26" t="s">
        <v>36</v>
      </c>
      <c r="AJ26">
        <v>2025</v>
      </c>
      <c r="AK26">
        <v>2040</v>
      </c>
      <c r="AL26">
        <v>2064</v>
      </c>
      <c r="AO26">
        <v>2029</v>
      </c>
      <c r="AP26">
        <v>2044</v>
      </c>
      <c r="AQ26">
        <v>2079</v>
      </c>
      <c r="AU26">
        <f t="shared" si="1"/>
        <v>-4</v>
      </c>
      <c r="AV26">
        <f t="shared" si="2"/>
        <v>-4</v>
      </c>
      <c r="AW26">
        <f t="shared" si="3"/>
        <v>-15</v>
      </c>
      <c r="AX26" t="str">
        <f t="shared" si="4"/>
        <v/>
      </c>
      <c r="BB26">
        <v>-4</v>
      </c>
      <c r="BC26">
        <v>-4</v>
      </c>
      <c r="BD26">
        <v>-15</v>
      </c>
      <c r="BE26" t="s">
        <v>135</v>
      </c>
    </row>
    <row r="27" spans="1:57" x14ac:dyDescent="0.2">
      <c r="A27" s="3">
        <v>0.33111575072592803</v>
      </c>
      <c r="B27" s="3">
        <v>0.50606775000000004</v>
      </c>
      <c r="G27" s="3">
        <v>0.50606775000000004</v>
      </c>
      <c r="H27" s="3">
        <v>0.98450917000000004</v>
      </c>
      <c r="I27" s="3">
        <v>1.5260384</v>
      </c>
      <c r="J27" s="3">
        <v>3.250985</v>
      </c>
      <c r="K27" s="3"/>
      <c r="L27" t="s">
        <v>114</v>
      </c>
      <c r="M27">
        <v>2019</v>
      </c>
      <c r="N27">
        <v>16</v>
      </c>
      <c r="O27">
        <v>26</v>
      </c>
      <c r="P27">
        <v>0</v>
      </c>
      <c r="R27">
        <v>2041</v>
      </c>
      <c r="S27">
        <v>13</v>
      </c>
      <c r="T27">
        <v>23</v>
      </c>
      <c r="U27">
        <v>13</v>
      </c>
      <c r="X27" t="s">
        <v>99</v>
      </c>
      <c r="Y27" t="s">
        <v>136</v>
      </c>
      <c r="Z27">
        <v>2038</v>
      </c>
      <c r="AA27">
        <v>21</v>
      </c>
      <c r="AB27">
        <v>0</v>
      </c>
      <c r="AC27">
        <v>0</v>
      </c>
      <c r="AI27" t="s">
        <v>40</v>
      </c>
      <c r="AJ27">
        <v>2027</v>
      </c>
      <c r="AK27">
        <v>2043</v>
      </c>
      <c r="AL27">
        <v>2070</v>
      </c>
      <c r="AO27">
        <v>2029</v>
      </c>
      <c r="AP27">
        <v>2044</v>
      </c>
      <c r="AQ27">
        <v>2079</v>
      </c>
      <c r="AU27">
        <f t="shared" si="1"/>
        <v>-2</v>
      </c>
      <c r="AV27">
        <f t="shared" si="2"/>
        <v>-1</v>
      </c>
      <c r="AW27">
        <f t="shared" si="3"/>
        <v>-9</v>
      </c>
      <c r="AX27" t="str">
        <f t="shared" si="4"/>
        <v/>
      </c>
      <c r="BB27">
        <v>-2</v>
      </c>
      <c r="BC27">
        <v>-1</v>
      </c>
      <c r="BD27">
        <v>-9</v>
      </c>
      <c r="BE27" t="s">
        <v>135</v>
      </c>
    </row>
    <row r="28" spans="1:57" x14ac:dyDescent="0.2">
      <c r="A28" s="3">
        <v>1.2518766969956201</v>
      </c>
      <c r="B28" s="3">
        <v>0.97386439999999996</v>
      </c>
      <c r="G28" s="3">
        <v>0.97386439999999996</v>
      </c>
      <c r="H28" s="3">
        <v>1.3713690999999999</v>
      </c>
      <c r="I28" s="3">
        <v>2.4136199999999999</v>
      </c>
      <c r="J28" s="3">
        <v>3.6632657000000002</v>
      </c>
      <c r="K28" s="3"/>
      <c r="L28" t="s">
        <v>115</v>
      </c>
      <c r="M28">
        <v>2019</v>
      </c>
      <c r="N28">
        <v>16</v>
      </c>
      <c r="O28">
        <v>26</v>
      </c>
      <c r="P28">
        <v>0</v>
      </c>
      <c r="R28">
        <v>2028</v>
      </c>
      <c r="S28">
        <v>12</v>
      </c>
      <c r="T28">
        <v>19</v>
      </c>
      <c r="U28">
        <v>18</v>
      </c>
      <c r="Y28" t="s">
        <v>137</v>
      </c>
      <c r="AD28">
        <v>2055</v>
      </c>
      <c r="AE28">
        <v>21</v>
      </c>
      <c r="AI28" t="s">
        <v>70</v>
      </c>
      <c r="AJ28">
        <v>2019</v>
      </c>
      <c r="AK28">
        <v>2033</v>
      </c>
      <c r="AL28">
        <v>2055</v>
      </c>
      <c r="AM28">
        <v>2066</v>
      </c>
      <c r="AO28">
        <v>2024</v>
      </c>
      <c r="AP28">
        <v>2036</v>
      </c>
      <c r="AQ28">
        <v>2055</v>
      </c>
      <c r="AR28">
        <v>2072</v>
      </c>
      <c r="AU28">
        <f t="shared" si="1"/>
        <v>-5</v>
      </c>
      <c r="AV28">
        <f t="shared" si="2"/>
        <v>-3</v>
      </c>
      <c r="AW28">
        <f t="shared" si="3"/>
        <v>0</v>
      </c>
      <c r="AX28">
        <f t="shared" si="4"/>
        <v>-6</v>
      </c>
      <c r="BB28">
        <v>-5</v>
      </c>
      <c r="BC28">
        <v>-3</v>
      </c>
      <c r="BD28">
        <v>0</v>
      </c>
      <c r="BE28">
        <v>-6</v>
      </c>
    </row>
    <row r="29" spans="1:57" x14ac:dyDescent="0.2">
      <c r="A29" s="3">
        <v>1.2518766969956201</v>
      </c>
      <c r="B29" s="3">
        <v>0.98836630000000003</v>
      </c>
      <c r="G29" s="3">
        <v>0.98836630000000003</v>
      </c>
      <c r="H29" s="3">
        <v>1.2717835</v>
      </c>
      <c r="I29" s="3">
        <v>2.2678582999999999</v>
      </c>
      <c r="J29" s="3">
        <v>3.5443655999999999</v>
      </c>
      <c r="K29" s="3"/>
      <c r="L29" t="s">
        <v>116</v>
      </c>
      <c r="M29">
        <v>2020</v>
      </c>
      <c r="N29">
        <v>16</v>
      </c>
      <c r="O29">
        <v>26</v>
      </c>
      <c r="P29">
        <v>21</v>
      </c>
      <c r="R29">
        <v>2030</v>
      </c>
      <c r="S29">
        <v>28</v>
      </c>
      <c r="T29">
        <v>15</v>
      </c>
      <c r="U29">
        <v>14</v>
      </c>
      <c r="AI29" t="s">
        <v>73</v>
      </c>
      <c r="AJ29">
        <v>2019</v>
      </c>
      <c r="AK29">
        <v>2034</v>
      </c>
      <c r="AL29">
        <v>2056</v>
      </c>
      <c r="AM29">
        <v>2067</v>
      </c>
      <c r="AO29">
        <v>2024</v>
      </c>
      <c r="AP29">
        <v>2036</v>
      </c>
      <c r="AQ29">
        <v>2055</v>
      </c>
      <c r="AR29">
        <v>2072</v>
      </c>
      <c r="AU29">
        <f t="shared" si="1"/>
        <v>-5</v>
      </c>
      <c r="AV29">
        <f t="shared" si="2"/>
        <v>-2</v>
      </c>
      <c r="AW29">
        <f t="shared" si="3"/>
        <v>1</v>
      </c>
      <c r="AX29">
        <f t="shared" si="4"/>
        <v>-5</v>
      </c>
      <c r="BB29">
        <v>-5</v>
      </c>
      <c r="BC29">
        <v>-2</v>
      </c>
      <c r="BD29">
        <v>1</v>
      </c>
      <c r="BE29">
        <v>-5</v>
      </c>
    </row>
    <row r="30" spans="1:57" x14ac:dyDescent="0.2">
      <c r="A30" s="3">
        <v>0.45625948782276199</v>
      </c>
      <c r="B30" s="3">
        <v>0.40934577999999999</v>
      </c>
      <c r="G30" s="3">
        <v>0.40934577999999999</v>
      </c>
      <c r="H30" s="3">
        <v>0.16441785</v>
      </c>
      <c r="I30" s="3">
        <v>0.91975899999999999</v>
      </c>
      <c r="J30" s="3">
        <v>2.1218149999999998</v>
      </c>
      <c r="K30" s="3"/>
      <c r="L30" t="s">
        <v>125</v>
      </c>
      <c r="M30">
        <v>2020</v>
      </c>
      <c r="N30">
        <v>16</v>
      </c>
      <c r="O30">
        <v>26</v>
      </c>
      <c r="P30">
        <v>21</v>
      </c>
      <c r="R30">
        <v>2029</v>
      </c>
      <c r="S30">
        <v>25</v>
      </c>
      <c r="T30">
        <v>23</v>
      </c>
      <c r="U30" t="s">
        <v>135</v>
      </c>
      <c r="X30" t="s">
        <v>100</v>
      </c>
      <c r="Y30" t="s">
        <v>136</v>
      </c>
      <c r="Z30">
        <v>2038</v>
      </c>
      <c r="AA30">
        <v>21</v>
      </c>
      <c r="AB30">
        <v>0</v>
      </c>
      <c r="AC30">
        <v>0</v>
      </c>
      <c r="AI30" t="s">
        <v>17</v>
      </c>
      <c r="AJ30">
        <v>2039</v>
      </c>
      <c r="AO30">
        <v>2023</v>
      </c>
      <c r="AU30">
        <f t="shared" si="1"/>
        <v>16</v>
      </c>
      <c r="AV30" t="str">
        <f t="shared" si="2"/>
        <v/>
      </c>
      <c r="AW30" t="str">
        <f t="shared" si="3"/>
        <v/>
      </c>
      <c r="AX30" t="str">
        <f t="shared" si="4"/>
        <v/>
      </c>
      <c r="BB30">
        <v>16</v>
      </c>
      <c r="BC30" t="s">
        <v>135</v>
      </c>
      <c r="BD30" t="s">
        <v>135</v>
      </c>
      <c r="BE30" t="s">
        <v>135</v>
      </c>
    </row>
    <row r="31" spans="1:57" x14ac:dyDescent="0.2">
      <c r="A31" s="3">
        <v>0.45625948782276199</v>
      </c>
      <c r="B31" s="3">
        <v>0.48655366999999999</v>
      </c>
      <c r="G31" s="3">
        <v>0.48655366999999999</v>
      </c>
      <c r="H31" s="3">
        <v>0.69433429999999996</v>
      </c>
      <c r="I31" s="3">
        <v>2.0894370000000002</v>
      </c>
      <c r="J31" s="3">
        <v>3.1780202000000002</v>
      </c>
      <c r="K31" s="3"/>
      <c r="L31" t="s">
        <v>119</v>
      </c>
      <c r="M31">
        <v>2016</v>
      </c>
      <c r="N31">
        <v>15</v>
      </c>
      <c r="O31">
        <v>20</v>
      </c>
      <c r="P31">
        <v>16</v>
      </c>
      <c r="R31">
        <v>2051</v>
      </c>
      <c r="S31">
        <v>7</v>
      </c>
      <c r="T31">
        <v>18</v>
      </c>
      <c r="U31" t="s">
        <v>135</v>
      </c>
      <c r="Y31" t="s">
        <v>137</v>
      </c>
      <c r="AD31">
        <v>2049</v>
      </c>
      <c r="AE31">
        <v>9</v>
      </c>
      <c r="AI31" t="s">
        <v>19</v>
      </c>
      <c r="AJ31">
        <v>2026</v>
      </c>
      <c r="AK31">
        <v>2041</v>
      </c>
      <c r="AO31">
        <v>2023</v>
      </c>
      <c r="AU31">
        <f t="shared" si="1"/>
        <v>3</v>
      </c>
      <c r="AV31" t="str">
        <f t="shared" si="2"/>
        <v/>
      </c>
      <c r="AW31" t="str">
        <f t="shared" si="3"/>
        <v/>
      </c>
      <c r="AX31" t="str">
        <f t="shared" si="4"/>
        <v/>
      </c>
      <c r="BB31">
        <v>3</v>
      </c>
      <c r="BC31" t="s">
        <v>135</v>
      </c>
      <c r="BD31" t="s">
        <v>135</v>
      </c>
      <c r="BE31" t="s">
        <v>135</v>
      </c>
    </row>
    <row r="32" spans="1:57" x14ac:dyDescent="0.2">
      <c r="A32" s="3">
        <v>0.28053309122718101</v>
      </c>
      <c r="B32" s="3">
        <v>0.29101974000000003</v>
      </c>
      <c r="G32" s="3">
        <v>0.29101974000000003</v>
      </c>
      <c r="H32" s="3">
        <v>0.7321299</v>
      </c>
      <c r="I32" s="3">
        <v>1.7708900999999999</v>
      </c>
      <c r="J32" s="3">
        <v>2.7940573999999998</v>
      </c>
      <c r="K32" s="3"/>
      <c r="L32" t="s">
        <v>120</v>
      </c>
      <c r="M32">
        <v>2016</v>
      </c>
      <c r="N32">
        <v>15</v>
      </c>
      <c r="O32">
        <v>20</v>
      </c>
      <c r="P32">
        <v>16</v>
      </c>
      <c r="R32">
        <v>2035</v>
      </c>
      <c r="S32">
        <v>8</v>
      </c>
      <c r="T32">
        <v>15</v>
      </c>
      <c r="U32">
        <v>13</v>
      </c>
      <c r="AI32" t="s">
        <v>21</v>
      </c>
      <c r="AO32">
        <v>2017</v>
      </c>
      <c r="AU32" t="str">
        <f t="shared" si="1"/>
        <v/>
      </c>
      <c r="AV32" t="str">
        <f t="shared" si="2"/>
        <v/>
      </c>
      <c r="AW32" t="str">
        <f t="shared" si="3"/>
        <v/>
      </c>
      <c r="AX32" t="str">
        <f t="shared" si="4"/>
        <v/>
      </c>
      <c r="BB32" t="s">
        <v>135</v>
      </c>
      <c r="BC32" t="s">
        <v>135</v>
      </c>
      <c r="BD32" t="s">
        <v>135</v>
      </c>
      <c r="BE32" t="s">
        <v>135</v>
      </c>
    </row>
    <row r="33" spans="1:57" x14ac:dyDescent="0.2">
      <c r="A33" s="3">
        <v>0.28053309122718101</v>
      </c>
      <c r="B33" s="3">
        <v>0.25983200000000001</v>
      </c>
      <c r="G33" s="3">
        <v>0.25983200000000001</v>
      </c>
      <c r="H33" s="3">
        <v>0.86645360000000005</v>
      </c>
      <c r="I33" s="3">
        <v>2.1349062999999999</v>
      </c>
      <c r="J33" s="3">
        <v>3.4961212000000002</v>
      </c>
      <c r="K33" s="3"/>
      <c r="L33" t="s">
        <v>117</v>
      </c>
      <c r="M33">
        <v>2024</v>
      </c>
      <c r="N33">
        <v>12</v>
      </c>
      <c r="O33">
        <v>19</v>
      </c>
      <c r="P33">
        <v>17</v>
      </c>
      <c r="R33">
        <v>2023</v>
      </c>
      <c r="S33">
        <v>11</v>
      </c>
      <c r="T33">
        <v>22</v>
      </c>
      <c r="U33">
        <v>11</v>
      </c>
      <c r="X33" t="s">
        <v>101</v>
      </c>
      <c r="Y33" t="s">
        <v>136</v>
      </c>
      <c r="Z33">
        <v>2038</v>
      </c>
      <c r="AA33">
        <v>21</v>
      </c>
      <c r="AB33">
        <v>0</v>
      </c>
      <c r="AC33">
        <v>0</v>
      </c>
      <c r="AI33" t="s">
        <v>47</v>
      </c>
      <c r="AJ33">
        <v>2039</v>
      </c>
      <c r="AK33">
        <v>2088</v>
      </c>
      <c r="AO33">
        <v>2023</v>
      </c>
      <c r="AP33">
        <v>2045</v>
      </c>
      <c r="AU33">
        <f t="shared" si="1"/>
        <v>16</v>
      </c>
      <c r="AV33">
        <f t="shared" si="2"/>
        <v>43</v>
      </c>
      <c r="AW33" t="str">
        <f t="shared" si="3"/>
        <v/>
      </c>
      <c r="AX33" t="str">
        <f t="shared" si="4"/>
        <v/>
      </c>
      <c r="BB33">
        <v>16</v>
      </c>
      <c r="BC33">
        <v>43</v>
      </c>
      <c r="BD33" t="s">
        <v>135</v>
      </c>
      <c r="BE33" t="s">
        <v>135</v>
      </c>
    </row>
    <row r="34" spans="1:57" x14ac:dyDescent="0.2">
      <c r="A34" s="3">
        <v>1.610914836536</v>
      </c>
      <c r="B34" s="3">
        <v>1.1164337</v>
      </c>
      <c r="G34" s="3">
        <v>-1.7072296142577815E-2</v>
      </c>
      <c r="H34" s="3"/>
      <c r="I34" s="3"/>
      <c r="J34" s="3"/>
      <c r="K34" s="3"/>
      <c r="L34" t="s">
        <v>118</v>
      </c>
      <c r="M34">
        <v>2024</v>
      </c>
      <c r="N34">
        <v>12</v>
      </c>
      <c r="O34">
        <v>19</v>
      </c>
      <c r="P34">
        <v>17</v>
      </c>
      <c r="R34">
        <v>2022</v>
      </c>
      <c r="S34">
        <v>12</v>
      </c>
      <c r="T34">
        <v>22</v>
      </c>
      <c r="U34">
        <v>14</v>
      </c>
      <c r="Y34" t="s">
        <v>137</v>
      </c>
      <c r="AD34">
        <v>2046</v>
      </c>
      <c r="AE34">
        <v>11</v>
      </c>
      <c r="AI34" t="s">
        <v>48</v>
      </c>
      <c r="AJ34">
        <v>2033</v>
      </c>
      <c r="AK34">
        <v>2070</v>
      </c>
      <c r="AO34">
        <v>2023</v>
      </c>
      <c r="AP34">
        <v>2045</v>
      </c>
      <c r="AU34">
        <f t="shared" si="1"/>
        <v>10</v>
      </c>
      <c r="AV34">
        <f t="shared" si="2"/>
        <v>25</v>
      </c>
      <c r="AW34" t="str">
        <f t="shared" si="3"/>
        <v/>
      </c>
      <c r="AX34" t="str">
        <f t="shared" si="4"/>
        <v/>
      </c>
      <c r="BB34">
        <v>10</v>
      </c>
      <c r="BC34">
        <v>25</v>
      </c>
      <c r="BD34" t="s">
        <v>135</v>
      </c>
      <c r="BE34" t="s">
        <v>135</v>
      </c>
    </row>
    <row r="35" spans="1:57" x14ac:dyDescent="0.2">
      <c r="A35" s="3">
        <v>1.610914836536</v>
      </c>
      <c r="B35" s="3">
        <v>1.4269999</v>
      </c>
      <c r="G35" s="3">
        <v>0.27099742889404221</v>
      </c>
      <c r="H35" s="3">
        <v>1.1271691322326629</v>
      </c>
      <c r="I35" s="3"/>
      <c r="J35" s="3"/>
      <c r="K35" s="3"/>
      <c r="L35" t="s">
        <v>121</v>
      </c>
      <c r="M35">
        <v>2018</v>
      </c>
      <c r="N35">
        <v>20</v>
      </c>
      <c r="O35">
        <v>24</v>
      </c>
      <c r="P35">
        <v>20</v>
      </c>
      <c r="R35">
        <v>2045</v>
      </c>
      <c r="S35">
        <v>8</v>
      </c>
      <c r="T35">
        <v>24</v>
      </c>
      <c r="U35" t="s">
        <v>135</v>
      </c>
      <c r="AI35" t="s">
        <v>81</v>
      </c>
      <c r="AJ35">
        <v>2044</v>
      </c>
      <c r="AK35">
        <v>2051</v>
      </c>
      <c r="AL35">
        <v>2076</v>
      </c>
      <c r="AM35">
        <v>2091</v>
      </c>
      <c r="AO35">
        <v>2018</v>
      </c>
      <c r="AP35">
        <v>2038</v>
      </c>
      <c r="AQ35">
        <v>2062</v>
      </c>
      <c r="AR35">
        <v>2082</v>
      </c>
      <c r="AU35">
        <f t="shared" si="1"/>
        <v>26</v>
      </c>
      <c r="AV35">
        <f t="shared" si="2"/>
        <v>13</v>
      </c>
      <c r="AW35">
        <f t="shared" si="3"/>
        <v>14</v>
      </c>
      <c r="AX35">
        <f t="shared" si="4"/>
        <v>9</v>
      </c>
      <c r="BB35">
        <v>26</v>
      </c>
      <c r="BC35">
        <v>13</v>
      </c>
      <c r="BD35">
        <v>14</v>
      </c>
      <c r="BE35">
        <v>9</v>
      </c>
    </row>
    <row r="36" spans="1:57" x14ac:dyDescent="0.2">
      <c r="A36" s="3">
        <v>1.610914836536</v>
      </c>
      <c r="B36" s="3">
        <v>1.4629586999999999</v>
      </c>
      <c r="G36" s="3">
        <v>0.51821467876434135</v>
      </c>
      <c r="H36" s="3">
        <v>1.0004473920000001</v>
      </c>
      <c r="I36" s="3">
        <v>1.7846617221832237</v>
      </c>
      <c r="J36" s="3">
        <v>2.8433244229999999</v>
      </c>
      <c r="K36" s="3"/>
      <c r="L36" t="s">
        <v>122</v>
      </c>
      <c r="M36">
        <v>2018</v>
      </c>
      <c r="N36">
        <v>20</v>
      </c>
      <c r="O36">
        <v>24</v>
      </c>
      <c r="P36">
        <v>20</v>
      </c>
      <c r="R36">
        <v>2038</v>
      </c>
      <c r="S36">
        <v>12</v>
      </c>
      <c r="T36">
        <v>18</v>
      </c>
      <c r="U36">
        <v>13</v>
      </c>
      <c r="X36" t="s">
        <v>102</v>
      </c>
      <c r="Y36" t="s">
        <v>136</v>
      </c>
      <c r="Z36">
        <v>2023</v>
      </c>
      <c r="AA36">
        <v>22</v>
      </c>
      <c r="AB36">
        <v>0</v>
      </c>
      <c r="AC36">
        <v>0</v>
      </c>
      <c r="AI36" t="s">
        <v>84</v>
      </c>
      <c r="AJ36">
        <v>2038</v>
      </c>
      <c r="AK36">
        <v>2049</v>
      </c>
      <c r="AL36">
        <v>2067</v>
      </c>
      <c r="AM36">
        <v>2078</v>
      </c>
      <c r="AO36">
        <v>2018</v>
      </c>
      <c r="AP36">
        <v>2038</v>
      </c>
      <c r="AQ36">
        <v>2062</v>
      </c>
      <c r="AR36">
        <v>2082</v>
      </c>
      <c r="AU36">
        <f t="shared" si="1"/>
        <v>20</v>
      </c>
      <c r="AV36">
        <f t="shared" si="2"/>
        <v>11</v>
      </c>
      <c r="AW36">
        <f t="shared" si="3"/>
        <v>5</v>
      </c>
      <c r="AX36">
        <f t="shared" si="4"/>
        <v>-4</v>
      </c>
      <c r="BB36">
        <v>20</v>
      </c>
      <c r="BC36">
        <v>11</v>
      </c>
      <c r="BD36">
        <v>5</v>
      </c>
      <c r="BE36">
        <v>-4</v>
      </c>
    </row>
    <row r="37" spans="1:57" x14ac:dyDescent="0.2">
      <c r="A37" s="3">
        <v>0.86234560615966405</v>
      </c>
      <c r="B37" s="3">
        <v>0.77936709999999998</v>
      </c>
      <c r="Y37" t="s">
        <v>137</v>
      </c>
      <c r="AD37">
        <v>2050</v>
      </c>
      <c r="AE37">
        <v>11</v>
      </c>
    </row>
    <row r="38" spans="1:57" x14ac:dyDescent="0.2">
      <c r="A38" s="3">
        <v>0.86234560615966405</v>
      </c>
      <c r="B38" s="3">
        <v>1.1440437999999999</v>
      </c>
    </row>
    <row r="39" spans="1:57" x14ac:dyDescent="0.2">
      <c r="A39" s="3">
        <v>0.62479549838627901</v>
      </c>
      <c r="B39" s="3">
        <v>0.83607894000000005</v>
      </c>
      <c r="X39" t="s">
        <v>103</v>
      </c>
      <c r="Y39" t="s">
        <v>136</v>
      </c>
      <c r="Z39">
        <v>2023</v>
      </c>
      <c r="AA39">
        <v>22</v>
      </c>
      <c r="AB39">
        <v>0</v>
      </c>
      <c r="AC39">
        <v>0</v>
      </c>
    </row>
    <row r="40" spans="1:57" x14ac:dyDescent="0.2">
      <c r="A40" s="3">
        <v>1.99852194768752</v>
      </c>
      <c r="B40" s="3">
        <v>1.6673487</v>
      </c>
      <c r="Y40" t="s">
        <v>137</v>
      </c>
      <c r="AD40">
        <v>2032</v>
      </c>
      <c r="AE40">
        <v>20</v>
      </c>
      <c r="AI40" t="s">
        <v>150</v>
      </c>
      <c r="AJ40">
        <f>MEDIAN(AJ3:AJ36)</f>
        <v>2037</v>
      </c>
      <c r="AK40">
        <f t="shared" ref="AK40:AM40" si="5">MEDIAN(AK3:AK36)</f>
        <v>2052.5</v>
      </c>
      <c r="AL40">
        <f t="shared" si="5"/>
        <v>2067</v>
      </c>
      <c r="AM40">
        <f t="shared" si="5"/>
        <v>2077.5</v>
      </c>
      <c r="AO40">
        <f>MEDIAN(AO3:AO36)</f>
        <v>2023</v>
      </c>
      <c r="AP40">
        <f>MEDIAN(AP3:AP36)</f>
        <v>2044</v>
      </c>
      <c r="AQ40">
        <f>MEDIAN(AQ3:AQ36)</f>
        <v>2062</v>
      </c>
      <c r="AR40">
        <f>MEDIAN(AR3:AR36)</f>
        <v>2082</v>
      </c>
    </row>
    <row r="41" spans="1:57" x14ac:dyDescent="0.2">
      <c r="A41" s="3">
        <v>1.99852194768752</v>
      </c>
      <c r="B41" s="3">
        <v>1.4296597</v>
      </c>
      <c r="AJ41">
        <f t="shared" ref="AJ41:AL41" si="6">AVERAGE(AJ3:AJ36)</f>
        <v>2036.0322580645161</v>
      </c>
      <c r="AK41">
        <f t="shared" si="6"/>
        <v>2053.5714285714284</v>
      </c>
      <c r="AL41">
        <f t="shared" si="6"/>
        <v>2066.8666666666668</v>
      </c>
      <c r="AM41">
        <f>AVERAGE(AM3:AM36)</f>
        <v>2077.6999999999998</v>
      </c>
      <c r="AO41">
        <f t="shared" ref="AO41:AQ41" si="7">AVERAGE(AO3:AO36)</f>
        <v>2023.9411764705883</v>
      </c>
      <c r="AP41">
        <f t="shared" si="7"/>
        <v>2042.0384615384614</v>
      </c>
      <c r="AQ41">
        <f t="shared" si="7"/>
        <v>2064.705882352941</v>
      </c>
      <c r="AR41">
        <f>AVERAGE(AR3:AR36)</f>
        <v>2079.2727272727275</v>
      </c>
    </row>
    <row r="42" spans="1:57" x14ac:dyDescent="0.2">
      <c r="A42" s="3">
        <v>0.83404442313203897</v>
      </c>
      <c r="B42" s="3">
        <v>0.70583885999999996</v>
      </c>
      <c r="X42" t="s">
        <v>104</v>
      </c>
      <c r="Y42" t="s">
        <v>136</v>
      </c>
      <c r="Z42">
        <v>2023</v>
      </c>
      <c r="AA42">
        <v>22</v>
      </c>
      <c r="AB42">
        <v>0</v>
      </c>
      <c r="AC42">
        <v>0</v>
      </c>
    </row>
    <row r="43" spans="1:57" x14ac:dyDescent="0.2">
      <c r="A43" s="3">
        <v>0.83404442313203897</v>
      </c>
      <c r="B43" s="3">
        <v>0.74572194000000003</v>
      </c>
      <c r="Y43" t="s">
        <v>137</v>
      </c>
      <c r="AD43">
        <v>2031</v>
      </c>
      <c r="AE43">
        <v>34</v>
      </c>
    </row>
    <row r="44" spans="1:57" x14ac:dyDescent="0.2">
      <c r="A44" s="3">
        <v>0.99868554009331101</v>
      </c>
      <c r="B44" s="3">
        <v>0.79325056000000005</v>
      </c>
    </row>
    <row r="45" spans="1:57" x14ac:dyDescent="0.2">
      <c r="A45" s="3">
        <v>0.99868554009331101</v>
      </c>
      <c r="B45" s="3">
        <v>1.0605827999999999</v>
      </c>
      <c r="X45" t="s">
        <v>124</v>
      </c>
      <c r="Y45" t="s">
        <v>136</v>
      </c>
      <c r="Z45">
        <v>2023</v>
      </c>
      <c r="AA45">
        <v>22</v>
      </c>
      <c r="AB45">
        <v>0</v>
      </c>
      <c r="AC45">
        <v>0</v>
      </c>
      <c r="BE45">
        <f>MEDIAN(BB3:BE36)</f>
        <v>9</v>
      </c>
    </row>
    <row r="46" spans="1:57" x14ac:dyDescent="0.2">
      <c r="A46" s="3">
        <v>1.5717548309150999</v>
      </c>
      <c r="B46" s="3">
        <v>1.0469978</v>
      </c>
      <c r="Y46" t="s">
        <v>137</v>
      </c>
      <c r="AD46">
        <v>2038</v>
      </c>
      <c r="AE46">
        <v>35</v>
      </c>
      <c r="BE46">
        <f>AVERAGE(BB3:BE36)</f>
        <v>8.9625000000000004</v>
      </c>
    </row>
    <row r="47" spans="1:57" x14ac:dyDescent="0.2">
      <c r="A47" s="3">
        <v>1.5717548309150999</v>
      </c>
      <c r="B47" s="3">
        <v>1.2177255</v>
      </c>
    </row>
    <row r="48" spans="1:57" x14ac:dyDescent="0.2">
      <c r="A48" s="3">
        <v>1.5717548309150999</v>
      </c>
      <c r="B48" s="3">
        <v>1.4378808999999999</v>
      </c>
      <c r="X48" t="s">
        <v>107</v>
      </c>
      <c r="Y48" t="s">
        <v>136</v>
      </c>
      <c r="Z48">
        <v>2017</v>
      </c>
      <c r="AA48">
        <v>17</v>
      </c>
      <c r="AB48">
        <v>44</v>
      </c>
      <c r="AC48">
        <v>0</v>
      </c>
    </row>
    <row r="49" spans="1:45" x14ac:dyDescent="0.2">
      <c r="A49" s="3">
        <v>0.94183442623305202</v>
      </c>
      <c r="B49" s="3">
        <v>0.70149916000000001</v>
      </c>
      <c r="Y49" t="s">
        <v>137</v>
      </c>
      <c r="AD49">
        <v>2038</v>
      </c>
      <c r="AE49">
        <v>32</v>
      </c>
    </row>
    <row r="50" spans="1:45" x14ac:dyDescent="0.2">
      <c r="A50" s="3">
        <v>0.94183442623305202</v>
      </c>
      <c r="B50" s="3">
        <v>1.2004429999999999</v>
      </c>
    </row>
    <row r="51" spans="1:45" x14ac:dyDescent="0.2">
      <c r="A51" s="3">
        <v>0.90064316589890403</v>
      </c>
      <c r="B51" s="3">
        <v>0.98450917000000004</v>
      </c>
      <c r="X51" t="s">
        <v>108</v>
      </c>
      <c r="Y51" t="s">
        <v>136</v>
      </c>
      <c r="Z51">
        <v>2017</v>
      </c>
      <c r="AA51">
        <v>17</v>
      </c>
      <c r="AB51">
        <v>44</v>
      </c>
      <c r="AC51">
        <v>0</v>
      </c>
    </row>
    <row r="52" spans="1:45" x14ac:dyDescent="0.2">
      <c r="A52" s="3">
        <v>1.65339945881786</v>
      </c>
      <c r="B52" s="3">
        <v>1.3713690999999999</v>
      </c>
      <c r="Y52" t="s">
        <v>137</v>
      </c>
      <c r="AD52">
        <v>2038</v>
      </c>
      <c r="AE52">
        <v>18</v>
      </c>
    </row>
    <row r="53" spans="1:45" x14ac:dyDescent="0.2">
      <c r="A53" s="3">
        <v>1.65339945881786</v>
      </c>
      <c r="B53" s="3">
        <v>1.2717835</v>
      </c>
      <c r="AO53" s="2"/>
      <c r="AP53" s="2"/>
      <c r="AQ53" s="2"/>
      <c r="AR53" s="2"/>
      <c r="AS53" s="2"/>
    </row>
    <row r="54" spans="1:45" x14ac:dyDescent="0.2">
      <c r="A54" s="3">
        <v>0.70197696001481202</v>
      </c>
      <c r="B54" s="3">
        <v>0.16441785</v>
      </c>
      <c r="X54" t="s">
        <v>105</v>
      </c>
      <c r="Y54" t="s">
        <v>136</v>
      </c>
      <c r="Z54">
        <v>2029</v>
      </c>
      <c r="AA54">
        <v>15</v>
      </c>
      <c r="AB54">
        <v>35</v>
      </c>
      <c r="AC54">
        <v>0</v>
      </c>
    </row>
    <row r="55" spans="1:45" x14ac:dyDescent="0.2">
      <c r="A55" s="3">
        <v>0.70197696001481202</v>
      </c>
      <c r="B55" s="3">
        <v>0.69433429999999996</v>
      </c>
      <c r="Y55" t="s">
        <v>137</v>
      </c>
      <c r="AD55">
        <v>2025</v>
      </c>
      <c r="AE55">
        <v>16</v>
      </c>
      <c r="AF55">
        <v>28</v>
      </c>
    </row>
    <row r="56" spans="1:45" x14ac:dyDescent="0.2">
      <c r="A56" s="3">
        <v>0.89448763529455499</v>
      </c>
      <c r="B56" s="3">
        <v>0.7321299</v>
      </c>
    </row>
    <row r="57" spans="1:45" x14ac:dyDescent="0.2">
      <c r="A57" s="3">
        <v>0.89448763529455499</v>
      </c>
      <c r="B57" s="3">
        <v>0.86645360000000005</v>
      </c>
      <c r="X57" t="s">
        <v>106</v>
      </c>
      <c r="Y57" t="s">
        <v>136</v>
      </c>
      <c r="Z57">
        <v>2029</v>
      </c>
      <c r="AA57">
        <v>15</v>
      </c>
      <c r="AB57">
        <v>35</v>
      </c>
      <c r="AC57">
        <v>0</v>
      </c>
      <c r="AO57" s="2"/>
      <c r="AP57" s="2"/>
      <c r="AQ57" s="2"/>
      <c r="AR57" s="2"/>
      <c r="AS57" s="2"/>
    </row>
    <row r="58" spans="1:45" x14ac:dyDescent="0.2">
      <c r="A58" s="3">
        <v>2.8577991666382299</v>
      </c>
      <c r="B58" s="3">
        <v>2.4161831999999999</v>
      </c>
      <c r="Y58" t="s">
        <v>137</v>
      </c>
      <c r="AD58">
        <v>2027</v>
      </c>
      <c r="AE58">
        <v>16</v>
      </c>
      <c r="AF58">
        <v>27</v>
      </c>
    </row>
    <row r="59" spans="1:45" x14ac:dyDescent="0.2">
      <c r="A59" s="3">
        <v>2.8577991666382299</v>
      </c>
      <c r="B59" s="3">
        <v>2.5177238000000002</v>
      </c>
    </row>
    <row r="60" spans="1:45" x14ac:dyDescent="0.2">
      <c r="A60" s="3">
        <v>2.1307141433336501</v>
      </c>
      <c r="B60" s="3">
        <v>1.762397</v>
      </c>
      <c r="X60" t="s">
        <v>109</v>
      </c>
      <c r="Y60" t="s">
        <v>136</v>
      </c>
      <c r="Z60">
        <v>2023</v>
      </c>
      <c r="AA60">
        <v>22</v>
      </c>
      <c r="AB60">
        <v>0</v>
      </c>
      <c r="AC60">
        <v>0</v>
      </c>
    </row>
    <row r="61" spans="1:45" x14ac:dyDescent="0.2">
      <c r="A61" s="3">
        <v>2.1307141433336501</v>
      </c>
      <c r="B61" s="3">
        <v>2.1931251999999999</v>
      </c>
      <c r="Y61" t="s">
        <v>137</v>
      </c>
      <c r="AD61">
        <v>2039</v>
      </c>
      <c r="AE61">
        <v>51</v>
      </c>
      <c r="AO61" s="2"/>
      <c r="AP61" s="2"/>
      <c r="AQ61" s="2"/>
      <c r="AR61" s="2"/>
      <c r="AS61" s="2"/>
    </row>
    <row r="62" spans="1:45" x14ac:dyDescent="0.2">
      <c r="A62" s="3">
        <v>2.6047206391182098</v>
      </c>
      <c r="B62" s="3">
        <v>2.019355</v>
      </c>
    </row>
    <row r="63" spans="1:45" x14ac:dyDescent="0.2">
      <c r="A63" s="3">
        <v>2.6047206391182098</v>
      </c>
      <c r="B63" s="3">
        <v>2.6094992000000001</v>
      </c>
      <c r="X63" t="s">
        <v>110</v>
      </c>
      <c r="Y63" t="s">
        <v>136</v>
      </c>
      <c r="Z63">
        <v>2023</v>
      </c>
      <c r="AA63">
        <v>22</v>
      </c>
      <c r="AB63">
        <v>0</v>
      </c>
      <c r="AC63">
        <v>0</v>
      </c>
    </row>
    <row r="64" spans="1:45" x14ac:dyDescent="0.2">
      <c r="A64" s="3">
        <v>2.6047206391182098</v>
      </c>
      <c r="B64" s="3">
        <v>2.7811110000000001</v>
      </c>
      <c r="Y64" t="s">
        <v>137</v>
      </c>
      <c r="AD64">
        <v>2034</v>
      </c>
      <c r="AE64">
        <v>36</v>
      </c>
    </row>
    <row r="65" spans="1:40" x14ac:dyDescent="0.2">
      <c r="A65" s="3">
        <v>1.93926760911421</v>
      </c>
      <c r="B65" s="3">
        <v>1.7608200000000001</v>
      </c>
    </row>
    <row r="66" spans="1:40" x14ac:dyDescent="0.2">
      <c r="A66" s="3">
        <v>1.93926760911421</v>
      </c>
      <c r="B66" s="3">
        <v>2.6340458</v>
      </c>
      <c r="X66" t="s">
        <v>111</v>
      </c>
      <c r="Y66" t="s">
        <v>136</v>
      </c>
      <c r="Z66">
        <v>2031</v>
      </c>
      <c r="AA66">
        <v>15</v>
      </c>
      <c r="AB66">
        <v>22</v>
      </c>
      <c r="AC66">
        <v>20</v>
      </c>
    </row>
    <row r="67" spans="1:40" x14ac:dyDescent="0.2">
      <c r="A67" s="3">
        <v>1.5027791696181101</v>
      </c>
      <c r="B67" s="3">
        <v>1.5260384</v>
      </c>
      <c r="Y67" t="s">
        <v>137</v>
      </c>
      <c r="AD67">
        <v>2042</v>
      </c>
      <c r="AE67">
        <v>13</v>
      </c>
      <c r="AF67">
        <v>21</v>
      </c>
    </row>
    <row r="68" spans="1:40" x14ac:dyDescent="0.2">
      <c r="A68" s="3">
        <v>2.85472428786268</v>
      </c>
      <c r="B68" s="3">
        <v>2.4136199999999999</v>
      </c>
    </row>
    <row r="69" spans="1:40" x14ac:dyDescent="0.2">
      <c r="A69" s="3">
        <v>2.85472428786268</v>
      </c>
      <c r="B69" s="3">
        <v>2.2678582999999999</v>
      </c>
      <c r="X69" t="s">
        <v>112</v>
      </c>
      <c r="Y69" t="s">
        <v>136</v>
      </c>
      <c r="Z69">
        <v>2031</v>
      </c>
      <c r="AA69">
        <v>15</v>
      </c>
      <c r="AB69">
        <v>22</v>
      </c>
      <c r="AC69">
        <v>20</v>
      </c>
    </row>
    <row r="70" spans="1:40" x14ac:dyDescent="0.2">
      <c r="A70" s="3">
        <v>2.0070241649878402</v>
      </c>
      <c r="B70" s="3">
        <v>0.91975899999999999</v>
      </c>
      <c r="Y70" t="s">
        <v>137</v>
      </c>
      <c r="AD70">
        <v>2038</v>
      </c>
      <c r="AE70">
        <v>11</v>
      </c>
      <c r="AF70">
        <v>17</v>
      </c>
      <c r="AG70">
        <v>17</v>
      </c>
    </row>
    <row r="71" spans="1:40" x14ac:dyDescent="0.2">
      <c r="A71" s="3">
        <v>2.0070241649878402</v>
      </c>
      <c r="B71" s="3">
        <v>2.0894370000000002</v>
      </c>
    </row>
    <row r="72" spans="1:40" x14ac:dyDescent="0.2">
      <c r="A72" s="3">
        <v>2.13368631998694</v>
      </c>
      <c r="B72" s="3">
        <v>1.7708900999999999</v>
      </c>
      <c r="X72" t="s">
        <v>113</v>
      </c>
      <c r="Y72" t="s">
        <v>136</v>
      </c>
      <c r="Z72">
        <v>2031</v>
      </c>
      <c r="AA72">
        <v>15</v>
      </c>
      <c r="AB72">
        <v>22</v>
      </c>
      <c r="AC72">
        <v>20</v>
      </c>
    </row>
    <row r="73" spans="1:40" x14ac:dyDescent="0.2">
      <c r="A73" s="3">
        <v>2.13368631998694</v>
      </c>
      <c r="B73" s="3">
        <v>2.1349062999999999</v>
      </c>
      <c r="Y73" t="s">
        <v>137</v>
      </c>
      <c r="AD73">
        <v>2032</v>
      </c>
      <c r="AE73">
        <v>14</v>
      </c>
      <c r="AF73">
        <v>16</v>
      </c>
      <c r="AG73">
        <v>18</v>
      </c>
    </row>
    <row r="74" spans="1:40" x14ac:dyDescent="0.2">
      <c r="A74" s="3">
        <v>3.8460715047062499</v>
      </c>
      <c r="B74" s="3">
        <v>3.0102582</v>
      </c>
    </row>
    <row r="75" spans="1:40" x14ac:dyDescent="0.2">
      <c r="A75" s="3">
        <v>3.8460715047062499</v>
      </c>
      <c r="B75" s="3">
        <v>3.5986015999999998</v>
      </c>
      <c r="X75" t="s">
        <v>114</v>
      </c>
      <c r="Y75" t="s">
        <v>136</v>
      </c>
      <c r="Z75">
        <v>2019</v>
      </c>
      <c r="AA75">
        <v>16</v>
      </c>
      <c r="AB75">
        <v>26</v>
      </c>
      <c r="AC75">
        <v>0</v>
      </c>
      <c r="AN75" s="2"/>
    </row>
    <row r="76" spans="1:40" x14ac:dyDescent="0.2">
      <c r="A76" s="3">
        <v>3.8460715047062499</v>
      </c>
      <c r="B76" s="3">
        <v>3.9668462</v>
      </c>
      <c r="Y76" t="s">
        <v>137</v>
      </c>
      <c r="AD76">
        <v>2041</v>
      </c>
      <c r="AE76">
        <v>13</v>
      </c>
      <c r="AF76">
        <v>23</v>
      </c>
      <c r="AG76">
        <v>13</v>
      </c>
      <c r="AN76" s="2"/>
    </row>
    <row r="77" spans="1:40" x14ac:dyDescent="0.2">
      <c r="A77" s="3">
        <v>2.9187363127111499</v>
      </c>
      <c r="B77" s="3">
        <v>3.250985</v>
      </c>
      <c r="AN77" s="2"/>
    </row>
    <row r="78" spans="1:40" x14ac:dyDescent="0.2">
      <c r="A78" s="3">
        <v>4.2617375100454602</v>
      </c>
      <c r="B78" s="3">
        <v>3.6632657000000002</v>
      </c>
      <c r="X78" t="s">
        <v>115</v>
      </c>
      <c r="Y78" t="s">
        <v>136</v>
      </c>
      <c r="Z78">
        <v>2019</v>
      </c>
      <c r="AA78">
        <v>16</v>
      </c>
      <c r="AB78">
        <v>26</v>
      </c>
      <c r="AC78">
        <v>0</v>
      </c>
    </row>
    <row r="79" spans="1:40" x14ac:dyDescent="0.2">
      <c r="A79" s="3">
        <v>4.2617375100454602</v>
      </c>
      <c r="B79" s="3">
        <v>3.5443655999999999</v>
      </c>
      <c r="Y79" t="s">
        <v>137</v>
      </c>
      <c r="AD79">
        <v>2028</v>
      </c>
      <c r="AE79">
        <v>12</v>
      </c>
      <c r="AF79">
        <v>19</v>
      </c>
      <c r="AG79">
        <v>18</v>
      </c>
    </row>
    <row r="80" spans="1:40" x14ac:dyDescent="0.2">
      <c r="A80" s="3">
        <v>3.2069946275303298</v>
      </c>
      <c r="B80" s="3">
        <v>2.1218149999999998</v>
      </c>
    </row>
    <row r="81" spans="1:33" x14ac:dyDescent="0.2">
      <c r="A81" s="3">
        <v>3.2069946275303298</v>
      </c>
      <c r="B81" s="3">
        <v>3.1780202000000002</v>
      </c>
      <c r="X81" t="s">
        <v>116</v>
      </c>
      <c r="Y81" t="s">
        <v>136</v>
      </c>
      <c r="Z81">
        <v>2020</v>
      </c>
      <c r="AA81">
        <v>16</v>
      </c>
      <c r="AB81">
        <v>26</v>
      </c>
      <c r="AC81">
        <v>21</v>
      </c>
    </row>
    <row r="82" spans="1:33" x14ac:dyDescent="0.2">
      <c r="A82" s="3">
        <v>3.25464655558264</v>
      </c>
      <c r="B82" s="3">
        <v>2.7940573999999998</v>
      </c>
      <c r="Y82" t="s">
        <v>137</v>
      </c>
      <c r="AD82">
        <v>2030</v>
      </c>
      <c r="AE82">
        <v>28</v>
      </c>
      <c r="AF82">
        <v>15</v>
      </c>
      <c r="AG82">
        <v>14</v>
      </c>
    </row>
    <row r="83" spans="1:33" x14ac:dyDescent="0.2">
      <c r="A83" s="3">
        <v>3.25464655558264</v>
      </c>
      <c r="B83" s="3">
        <v>3.4961212000000002</v>
      </c>
    </row>
    <row r="84" spans="1:33" x14ac:dyDescent="0.2">
      <c r="X84" t="s">
        <v>125</v>
      </c>
      <c r="Y84" t="s">
        <v>136</v>
      </c>
      <c r="Z84">
        <v>2020</v>
      </c>
      <c r="AA84">
        <v>16</v>
      </c>
      <c r="AB84">
        <v>26</v>
      </c>
      <c r="AC84">
        <v>21</v>
      </c>
    </row>
    <row r="85" spans="1:33" x14ac:dyDescent="0.2">
      <c r="Y85" t="s">
        <v>137</v>
      </c>
      <c r="AD85">
        <v>2029</v>
      </c>
      <c r="AE85">
        <v>25</v>
      </c>
      <c r="AF85">
        <v>23</v>
      </c>
    </row>
    <row r="87" spans="1:33" x14ac:dyDescent="0.2">
      <c r="X87" t="s">
        <v>119</v>
      </c>
      <c r="Y87" t="s">
        <v>136</v>
      </c>
      <c r="Z87">
        <v>2016</v>
      </c>
      <c r="AA87">
        <v>15</v>
      </c>
      <c r="AB87">
        <v>20</v>
      </c>
      <c r="AC87">
        <v>16</v>
      </c>
    </row>
    <row r="88" spans="1:33" x14ac:dyDescent="0.2">
      <c r="Y88" t="s">
        <v>137</v>
      </c>
      <c r="AD88">
        <v>2051</v>
      </c>
      <c r="AE88">
        <v>7</v>
      </c>
      <c r="AF88">
        <v>18</v>
      </c>
    </row>
    <row r="90" spans="1:33" x14ac:dyDescent="0.2">
      <c r="X90" t="s">
        <v>120</v>
      </c>
      <c r="Y90" t="s">
        <v>136</v>
      </c>
      <c r="Z90">
        <v>2016</v>
      </c>
      <c r="AA90">
        <v>15</v>
      </c>
      <c r="AB90">
        <v>20</v>
      </c>
      <c r="AC90">
        <v>16</v>
      </c>
    </row>
    <row r="91" spans="1:33" x14ac:dyDescent="0.2">
      <c r="Y91" t="s">
        <v>137</v>
      </c>
      <c r="AD91">
        <v>2035</v>
      </c>
      <c r="AE91">
        <v>8</v>
      </c>
      <c r="AF91">
        <v>15</v>
      </c>
      <c r="AG91">
        <v>13</v>
      </c>
    </row>
    <row r="93" spans="1:33" x14ac:dyDescent="0.2">
      <c r="X93" t="s">
        <v>117</v>
      </c>
      <c r="Y93" t="s">
        <v>136</v>
      </c>
      <c r="Z93">
        <v>2024</v>
      </c>
      <c r="AA93">
        <v>12</v>
      </c>
      <c r="AB93">
        <v>19</v>
      </c>
      <c r="AC93">
        <v>17</v>
      </c>
    </row>
    <row r="94" spans="1:33" x14ac:dyDescent="0.2">
      <c r="Y94" t="s">
        <v>137</v>
      </c>
      <c r="AD94">
        <v>2023</v>
      </c>
      <c r="AE94">
        <v>11</v>
      </c>
      <c r="AF94">
        <v>22</v>
      </c>
      <c r="AG94">
        <v>11</v>
      </c>
    </row>
    <row r="96" spans="1:33" x14ac:dyDescent="0.2">
      <c r="X96" t="s">
        <v>118</v>
      </c>
      <c r="Y96" t="s">
        <v>136</v>
      </c>
      <c r="Z96">
        <v>2024</v>
      </c>
      <c r="AA96">
        <v>12</v>
      </c>
      <c r="AB96">
        <v>19</v>
      </c>
      <c r="AC96">
        <v>17</v>
      </c>
    </row>
    <row r="97" spans="24:33" x14ac:dyDescent="0.2">
      <c r="Y97" t="s">
        <v>137</v>
      </c>
      <c r="AD97">
        <v>2022</v>
      </c>
      <c r="AE97">
        <v>12</v>
      </c>
      <c r="AF97">
        <v>22</v>
      </c>
      <c r="AG97">
        <v>14</v>
      </c>
    </row>
    <row r="99" spans="24:33" x14ac:dyDescent="0.2">
      <c r="X99" t="s">
        <v>121</v>
      </c>
      <c r="Y99" t="s">
        <v>136</v>
      </c>
      <c r="Z99">
        <v>2018</v>
      </c>
      <c r="AA99">
        <v>20</v>
      </c>
      <c r="AB99">
        <v>24</v>
      </c>
      <c r="AC99">
        <v>20</v>
      </c>
    </row>
    <row r="100" spans="24:33" x14ac:dyDescent="0.2">
      <c r="Y100" t="s">
        <v>137</v>
      </c>
      <c r="AD100">
        <v>2045</v>
      </c>
      <c r="AE100">
        <v>8</v>
      </c>
      <c r="AF100">
        <v>24</v>
      </c>
    </row>
    <row r="102" spans="24:33" x14ac:dyDescent="0.2">
      <c r="X102" t="s">
        <v>122</v>
      </c>
      <c r="Y102" t="s">
        <v>136</v>
      </c>
      <c r="Z102">
        <v>2018</v>
      </c>
      <c r="AA102">
        <v>20</v>
      </c>
      <c r="AB102">
        <v>24</v>
      </c>
      <c r="AC102">
        <v>20</v>
      </c>
    </row>
    <row r="103" spans="24:33" x14ac:dyDescent="0.2">
      <c r="Y103" t="s">
        <v>137</v>
      </c>
      <c r="AD103">
        <v>2038</v>
      </c>
      <c r="AE103">
        <v>12</v>
      </c>
      <c r="AF103">
        <v>18</v>
      </c>
      <c r="AG103">
        <v>13</v>
      </c>
    </row>
  </sheetData>
  <sortState xmlns:xlrd2="http://schemas.microsoft.com/office/spreadsheetml/2017/richdata2" ref="AO44:AS77">
    <sortCondition ref="AO44:AO77"/>
  </sortState>
  <mergeCells count="5">
    <mergeCell ref="L1:P1"/>
    <mergeCell ref="R1:U1"/>
    <mergeCell ref="AJ1:AM1"/>
    <mergeCell ref="AO1:AS1"/>
    <mergeCell ref="AU1:AX1"/>
  </mergeCells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CD7D-E573-8546-B67A-5BCF996A6F10}">
  <dimension ref="A1"/>
  <sheetViews>
    <sheetView zoomScale="261" zoomScaleNormal="261" workbookViewId="0">
      <selection activeCell="D16" sqref="D16"/>
    </sheetView>
  </sheetViews>
  <sheetFormatPr baseColWidth="10" defaultRowHeight="16" x14ac:dyDescent="0.2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Diagramme</vt:lpstr>
      </vt:variant>
      <vt:variant>
        <vt:i4>4</vt:i4>
      </vt:variant>
    </vt:vector>
  </HeadingPairs>
  <TitlesOfParts>
    <vt:vector size="8" baseType="lpstr">
      <vt:lpstr>lookup_table</vt:lpstr>
      <vt:lpstr>Tabelle2</vt:lpstr>
      <vt:lpstr>Tabelle1</vt:lpstr>
      <vt:lpstr>ccs_aut_oeks gwl vs rcp</vt:lpstr>
      <vt:lpstr>year_of_reaching_gwl_all_mods</vt:lpstr>
      <vt:lpstr>year_of _reaching_gwl_CM5_CM6</vt:lpstr>
      <vt:lpstr>year_of_reaching_diff</vt:lpstr>
      <vt:lpstr>ccs_aut_gcm vs. ccs_oeks15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Becsi</dc:creator>
  <cp:lastModifiedBy>Benedikt Becsi</cp:lastModifiedBy>
  <dcterms:created xsi:type="dcterms:W3CDTF">2023-05-11T12:27:27Z</dcterms:created>
  <dcterms:modified xsi:type="dcterms:W3CDTF">2023-11-30T12:21:32Z</dcterms:modified>
</cp:coreProperties>
</file>